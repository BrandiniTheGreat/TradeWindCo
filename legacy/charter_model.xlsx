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artnership Split" sheetId="2" state="visible" r:id="rId4"/>
    <sheet name="P&amp;L Summary" sheetId="3" state="visible" r:id="rId5"/>
    <sheet name="10-Year Projection" sheetId="4" state="visible" r:id="rId6"/>
    <sheet name="Reality Check" sheetId="5" state="visible" r:id="rId7"/>
    <sheet name="Stress Te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<sst xmlns="http://schemas.openxmlformats.org/spreadsheetml/2006/main" count="217" uniqueCount="179">
  <si>
    <t xml:space="preserve">CHARTER CATAMARAN FINANCIAL MODEL</t>
  </si>
  <si>
    <t xml:space="preserve">Caribbean Charter — No-BS Numbers</t>
  </si>
  <si>
    <t xml:space="preserve">PURCHASE &amp; FINANCING</t>
  </si>
  <si>
    <t xml:space="preserve">Boat Purchase Price</t>
  </si>
  <si>
    <t xml:space="preserve">New Lagoon 46 / Bali 4.6 range</t>
  </si>
  <si>
    <t xml:space="preserve">Down Payment %</t>
  </si>
  <si>
    <t xml:space="preserve">Most marine lenders require 15-20%</t>
  </si>
  <si>
    <t xml:space="preserve">Down Payment ($)</t>
  </si>
  <si>
    <t xml:space="preserve">Loan Amount</t>
  </si>
  <si>
    <t xml:space="preserve">Loan Term (years)</t>
  </si>
  <si>
    <t xml:space="preserve">15-20 typical for marine</t>
  </si>
  <si>
    <t xml:space="preserve">Interest Rate (APR)</t>
  </si>
  <si>
    <t xml:space="preserve">Current marine rates ~7.5-9%</t>
  </si>
  <si>
    <t xml:space="preserve">Monthly Payment</t>
  </si>
  <si>
    <t xml:space="preserve">Annual Debt Service</t>
  </si>
  <si>
    <t xml:space="preserve">CHARTER REVENUE ASSUMPTIONS</t>
  </si>
  <si>
    <t xml:space="preserve">Conservative</t>
  </si>
  <si>
    <t xml:space="preserve">Moderate</t>
  </si>
  <si>
    <t xml:space="preserve">Optimistic</t>
  </si>
  <si>
    <t xml:space="preserve">Notes</t>
  </si>
  <si>
    <t xml:space="preserve">Charter Weeks Available/Year</t>
  </si>
  <si>
    <t xml:space="preserve">After your personal use + maintenance</t>
  </si>
  <si>
    <t xml:space="preserve">Booking Occupancy Rate</t>
  </si>
  <si>
    <t xml:space="preserve">Caribbean avg ~60-75%. Year 1 usually lower</t>
  </si>
  <si>
    <t xml:space="preserve">Weeks Actually Booked</t>
  </si>
  <si>
    <t xml:space="preserve">Avg Weekly Charter Rate</t>
  </si>
  <si>
    <t xml:space="preserve">Bareboat 45-50ft cat, Caribbean high season mix</t>
  </si>
  <si>
    <t xml:space="preserve">Gross Charter Revenue</t>
  </si>
  <si>
    <t xml:space="preserve">ANNUAL OPERATING EXPENSES</t>
  </si>
  <si>
    <t xml:space="preserve">Charter Mgmt Co. Cut (% of gross)</t>
  </si>
  <si>
    <t xml:space="preserve">Moorings/DYC ~25-35%. Negotiate hard.</t>
  </si>
  <si>
    <t xml:space="preserve">Charter Mgmt Fee ($)</t>
  </si>
  <si>
    <t xml:space="preserve">Insurance (hull + liability)</t>
  </si>
  <si>
    <t xml:space="preserve">Caribbean = higher premiums, hurricane zone</t>
  </si>
  <si>
    <t xml:space="preserve">Maintenance Reserve (% of boat value)</t>
  </si>
  <si>
    <t xml:space="preserve">Industry rule: 2-4% of value/year</t>
  </si>
  <si>
    <t xml:space="preserve">Maintenance Reserve ($)</t>
  </si>
  <si>
    <t xml:space="preserve">Slip/Marina Fees</t>
  </si>
  <si>
    <t xml:space="preserve">Home base when not chartered</t>
  </si>
  <si>
    <t xml:space="preserve">Haul-Out &amp; Bottom Paint</t>
  </si>
  <si>
    <t xml:space="preserve">Annual in Caribbean (growth is aggressive)</t>
  </si>
  <si>
    <t xml:space="preserve">Provisioning/Turnover Costs</t>
  </si>
  <si>
    <t xml:space="preserve">$100-150/turnover × bookings</t>
  </si>
  <si>
    <t xml:space="preserve">Miscellaneous/Contingency</t>
  </si>
  <si>
    <t xml:space="preserve">Things WILL break. Budget for it.</t>
  </si>
  <si>
    <t xml:space="preserve">Total Operating Expenses</t>
  </si>
  <si>
    <t xml:space="preserve">PARTNERSHIP ECONOMICS — WHO MAKES WHAT</t>
  </si>
  <si>
    <t xml:space="preserve">Used boat scenario with captain-partner in charter fleet</t>
  </si>
  <si>
    <t xml:space="preserve">DEAL STRUCTURE</t>
  </si>
  <si>
    <t xml:space="preserve">Used Boat Purchase Price</t>
  </si>
  <si>
    <t xml:space="preserve">Sweet spot: 3-5yr old cat</t>
  </si>
  <si>
    <t xml:space="preserve">Down Payment % (each partner)</t>
  </si>
  <si>
    <t xml:space="preserve">10% each = 20% total</t>
  </si>
  <si>
    <t xml:space="preserve">Your Down Payment</t>
  </si>
  <si>
    <t xml:space="preserve">Partner's Down Payment</t>
  </si>
  <si>
    <t xml:space="preserve">Total Down Payment</t>
  </si>
  <si>
    <t xml:space="preserve">Shorter term typical on used</t>
  </si>
  <si>
    <t xml:space="preserve">Interest Rate</t>
  </si>
  <si>
    <t xml:space="preserve">Used = slightly higher rate</t>
  </si>
  <si>
    <t xml:space="preserve">Monthly Loan Payment</t>
  </si>
  <si>
    <t xml:space="preserve">Your Monthly Loan Share (50%)</t>
  </si>
  <si>
    <t xml:space="preserve">Partner's Monthly Loan Share (50%)</t>
  </si>
  <si>
    <t xml:space="preserve">Ownership Split — You</t>
  </si>
  <si>
    <t xml:space="preserve">Ownership Split — Partner</t>
  </si>
  <si>
    <t xml:space="preserve">CHARTER REVENUE — FLEET MANAGED, CREWED</t>
  </si>
  <si>
    <t xml:space="preserve">After personal use + maintenance</t>
  </si>
  <si>
    <t xml:space="preserve">Crewed can book higher but yr1 is rough</t>
  </si>
  <si>
    <t xml:space="preserve">Avg Weekly Rate (Crewed)</t>
  </si>
  <si>
    <t xml:space="preserve">Captain-only crewed, 45-50ft Caribbean</t>
  </si>
  <si>
    <t xml:space="preserve">OPERATING EXPENSES</t>
  </si>
  <si>
    <t xml:space="preserve">Fleet Mgmt Co. Cut (% of gross)</t>
  </si>
  <si>
    <t xml:space="preserve">Lower cut when you provide captain</t>
  </si>
  <si>
    <t xml:space="preserve">Fleet Mgmt Fee ($)</t>
  </si>
  <si>
    <t xml:space="preserve">Partner Captain Pay (per booked week)</t>
  </si>
  <si>
    <t xml:space="preserve">His labor comp, off the top</t>
  </si>
  <si>
    <t xml:space="preserve">Total Captain Pay/Year</t>
  </si>
  <si>
    <t xml:space="preserve">Insurance</t>
  </si>
  <si>
    <t xml:space="preserve">Used boat = slightly lower hull value</t>
  </si>
  <si>
    <t xml:space="preserve">Maintenance Reserve (% of value)</t>
  </si>
  <si>
    <t xml:space="preserve">Higher for used + charter wear</t>
  </si>
  <si>
    <t xml:space="preserve">Provisioning/Turnover</t>
  </si>
  <si>
    <t xml:space="preserve">Miscellaneous</t>
  </si>
  <si>
    <t xml:space="preserve">WHAT EACH PERSON TAKES HOME</t>
  </si>
  <si>
    <t xml:space="preserve">Less: All Operating Expenses</t>
  </si>
  <si>
    <t xml:space="preserve">Net Operating Income</t>
  </si>
  <si>
    <t xml:space="preserve">Less: Annual Debt Service</t>
  </si>
  <si>
    <t xml:space="preserve">NET BUSINESS CASH FLOW</t>
  </si>
  <si>
    <t xml:space="preserve">═══ YOUR ANNUAL PICTURE (Brandon) ═══</t>
  </si>
  <si>
    <t xml:space="preserve">Your 50% of Business Cash Flow</t>
  </si>
  <si>
    <t xml:space="preserve">Your Monthly Loan Payment</t>
  </si>
  <si>
    <t xml:space="preserve">(Debt service already deducted above — your share of profit IS your net)</t>
  </si>
  <si>
    <t xml:space="preserve">YOUR NET ANNUAL INCOME FROM BOAT</t>
  </si>
  <si>
    <t xml:space="preserve">Your Net Monthly</t>
  </si>
  <si>
    <t xml:space="preserve">═══ PARTNER'S ANNUAL PICTURE (Captain) ═══</t>
  </si>
  <si>
    <t xml:space="preserve">Captain Pay (labor, off the top)</t>
  </si>
  <si>
    <t xml:space="preserve">His 50% of Business Cash Flow</t>
  </si>
  <si>
    <t xml:space="preserve">PARTNER TOTAL ANNUAL COMP</t>
  </si>
  <si>
    <t xml:space="preserve">Partner Monthly (averaged)</t>
  </si>
  <si>
    <t xml:space="preserve">Is this livable for him?</t>
  </si>
  <si>
    <t xml:space="preserve">ANNUAL CASH FLOW SUMMARY</t>
  </si>
  <si>
    <t xml:space="preserve">Less: Mgmt Company Fee</t>
  </si>
  <si>
    <t xml:space="preserve">Net Charter Revenue</t>
  </si>
  <si>
    <t xml:space="preserve">Less: Insurance</t>
  </si>
  <si>
    <t xml:space="preserve">Less: Maintenance Reserve</t>
  </si>
  <si>
    <t xml:space="preserve">Less: Slip/Marina Fees</t>
  </si>
  <si>
    <t xml:space="preserve">Less: Haul-Out &amp; Bottom Paint</t>
  </si>
  <si>
    <t xml:space="preserve">Less: Provisioning/Turnover</t>
  </si>
  <si>
    <t xml:space="preserve">Less: Miscellaneous</t>
  </si>
  <si>
    <t xml:space="preserve">Net Operating Income (NOI)</t>
  </si>
  <si>
    <t xml:space="preserve">ANNUAL CASH FLOW</t>
  </si>
  <si>
    <t xml:space="preserve">Monthly Cash Flow</t>
  </si>
  <si>
    <t xml:space="preserve">YOUR PERSONAL USE WEEKS</t>
  </si>
  <si>
    <t xml:space="preserve">Charter Weeks Available</t>
  </si>
  <si>
    <t xml:space="preserve">Personal Use Weeks</t>
  </si>
  <si>
    <t xml:space="preserve">Effective Cost Per Personal Week</t>
  </si>
  <si>
    <t xml:space="preserve">10-YEAR PROJECTION (MODERATE SCENARIO)</t>
  </si>
  <si>
    <t xml:space="preserve">Annual Rate Increase</t>
  </si>
  <si>
    <t xml:space="preserve">Charter rate growth/yr</t>
  </si>
  <si>
    <t xml:space="preserve">Annual Expense Inflation</t>
  </si>
  <si>
    <t xml:space="preserve">Expenses grow faster than revenue</t>
  </si>
  <si>
    <t xml:space="preserve">Annual Depreciation Rate</t>
  </si>
  <si>
    <t xml:space="preserve">Cats hold better than mono, but still depreciates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</si>
  <si>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</si>
  <si>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</si>
  <si>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</si>
  <si>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</si>
  <si>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</si>
  <si>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</si>
  <si>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</si>
  <si>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</si>
  <si>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</si>
  <si>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</si>
  <si>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Debt Service</t>
  </si>
  <si>
    <t xml:space="preserve">Annual Cash Flow</t>
  </si>
  <si>
    <t xml:space="preserve">Cumulative Cash Flow</t>
  </si>
  <si>
    <t xml:space="preserve">Boat Market Value</t>
  </si>
  <si>
    <t xml:space="preserve">Remaining Loan Balance</t>
  </si>
  <si>
    <t xml:space="preserve">Equity Position</t>
  </si>
  <si>
    <t xml:space="preserve">Total Return (Equity + Cum CF)</t>
  </si>
  <si>
    <t xml:space="preserve">vs. Down Payment Invested</t>
  </si>
  <si>
    <t xml:space="preserve">REALITY CHECK — THINGS THE BROCHURE WON'T TELL YOU</t>
  </si>
  <si>
    <t xml:space="preserve">HURRICANE RISK</t>
  </si>
  <si>
    <t xml:space="preserve">Caribbean season is June-November. Insurance deductibles are typically 2-5% of hull value ($14K-$35K on a $700K boat). Named storm exclusions are common. Budget $2-5K/yr for hurricane haul-out or relocation.</t>
  </si>
  <si>
    <t xml:space="preserve">YEAR 1 IS THE WORST</t>
  </si>
  <si>
    <t xml:space="preserve">Commissioning delays, shakedown issues, building charter reviews from zero. Budget for 40-50% occupancy year 1, not 70%.</t>
  </si>
  <si>
    <t xml:space="preserve">CHARTER WEAR IS REAL</t>
  </si>
  <si>
    <t xml:space="preserve">Charter guests are NOT gentle. Winches, sails, trampolines, engines see 3-5x the wear of private use. Budget maintenance accordingly.</t>
  </si>
  <si>
    <t xml:space="preserve">MANAGEMENT CO. INCENTIVES</t>
  </si>
  <si>
    <t xml:space="preserve">Their fee is based on gross revenue, not your profit. They're incentivized to book volume, not protect your boat. Inspect often.</t>
  </si>
  <si>
    <t xml:space="preserve">THE EXIT</t>
  </si>
  <si>
    <t xml:space="preserve">When you sell, a boat with 8-10 years of charter use sells for LESS than a private-use equivalent. Factor 10-20% additional discount vs. market.</t>
  </si>
  <si>
    <t xml:space="preserve">TAX COMPLEXITY</t>
  </si>
  <si>
    <t xml:space="preserve">IRS scrutinizes charter arrangements. You need a maritime CPA. Expect $2-3K/yr in specialized tax prep. But the deductions (depreciation, interest, expenses) can be substantial if structured right.</t>
  </si>
  <si>
    <t xml:space="preserve">PERSONAL USE RESTRICTIONS</t>
  </si>
  <si>
    <t xml:space="preserve">Your weeks are usually off-peak (summer in Caribbean = hot + hurricane season). Peak weeks = Christmas, February, Easter — those are when the boat earns.</t>
  </si>
  <si>
    <t xml:space="preserve">OPPORTUNITY COST</t>
  </si>
  <si>
    <t xml:space="preserve">Your $140K down payment in the S&amp;P 500 at 10% avg return = ~$363K in 10 years. The boat needs to beat that to be a purely financial win. Most people do this for lifestyle + partial offset, not pure ROI.</t>
  </si>
  <si>
    <t xml:space="preserve">STRESS TEST — HOW BAD CAN IT GET?</t>
  </si>
  <si>
    <t xml:space="preserve">Monthly burn at various occupancy levels (used boat, partnership)</t>
  </si>
  <si>
    <t xml:space="preserve">20% Occ</t>
  </si>
  <si>
    <t xml:space="preserve">30% Occ</t>
  </si>
  <si>
    <t xml:space="preserve">40% Occ</t>
  </si>
  <si>
    <t xml:space="preserve">50% Occ</t>
  </si>
  <si>
    <t xml:space="preserve">60% Occ</t>
  </si>
  <si>
    <t xml:space="preserve">70% Occ</t>
  </si>
  <si>
    <t xml:space="preserve">80% Occ</t>
  </si>
  <si>
    <t xml:space="preserve">Weeks Booked (of 40 avail)</t>
  </si>
  <si>
    <t xml:space="preserve">Gross Revenue</t>
  </si>
  <si>
    <t xml:space="preserve">Fleet Mgmt Fee (22%)</t>
  </si>
  <si>
    <t xml:space="preserve">Captain Pay</t>
  </si>
  <si>
    <t xml:space="preserve">Maintenance</t>
  </si>
  <si>
    <t xml:space="preserve">Slip + Haul + Prov + Misc</t>
  </si>
  <si>
    <t xml:space="preserve">Total Expenses</t>
  </si>
  <si>
    <t xml:space="preserve">MONTHLY CASH FLOW (total)</t>
  </si>
  <si>
    <t xml:space="preserve">Your Monthly Share</t>
  </si>
  <si>
    <t xml:space="preserve">Partner's Monthly (captain + share)</t>
  </si>
  <si>
    <t xml:space="preserve">MONTHS OF RESERVES NEEDED</t>
  </si>
  <si>
    <t xml:space="preserve">(to cover 12mo if this is your actual occupancy)</t>
  </si>
  <si>
    <t xml:space="preserve">RED = you are bleeding money. The question is: how much reserve do you need to survive a bad year?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</si>
</sst>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0"/>
    <numFmt numFmtId="168" formatCode="0.0"/>
    <numFmt numFmtId="169" formatCode="\$#,##0"/>
    <numFmt numFmtId="170" formatCode="\$#,##0;&quot;($&quot;#,##0\);\-"/>
    <numFmt numFmtId="171" formatCode="\$#,##0;&quot;($&quot;#,##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i val="true"/>
      <sz val="11"/>
      <color rgb="FFFF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i val="true"/>
      <sz val="10"/>
      <color rgb="FFFF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6E4F0"/>
      </patternFill>
    </fill>
    <fill>
      <patternFill patternType="solid">
        <fgColor rgb="FF2F5496"/>
        <bgColor rgb="FF0066CC"/>
      </patternFill>
    </fill>
    <fill>
      <patternFill patternType="solid">
        <fgColor rgb="FFFCE4EC"/>
        <bgColor rgb="FFFFF2CC"/>
      </patternFill>
    </fill>
    <fill>
      <patternFill patternType="solid">
        <fgColor rgb="FFE8D5F5"/>
        <bgColor rgb="FFD6E4F0"/>
      </patternFill>
    </fill>
    <fill>
      <patternFill patternType="solid">
        <fgColor rgb="FFFFF2CC"/>
        <bgColor rgb="FFFCE4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double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B2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5" min="3" style="1" width="18"/>
    <col collapsed="false" customWidth="true" hidden="false" outlineLevel="0" max="6" min="6" style="1" width="22"/>
  </cols>
  <sheetData>
    <row r="2" customFormat="false" ht="17.2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5"/>
      <c r="D5" s="5"/>
      <c r="E5" s="5"/>
      <c r="F5" s="5"/>
    </row>
    <row r="6" customFormat="false" ht="15" hidden="false" customHeight="true" outlineLevel="0" collapsed="false">
      <c r="B6" s="6" t="s">
        <v>3</v>
      </c>
      <c r="C6" s="7" t="n">
        <v>700000</v>
      </c>
      <c r="D6" s="8" t="s">
        <v>4</v>
      </c>
    </row>
    <row r="7" customFormat="false" ht="15" hidden="false" customHeight="true" outlineLevel="0" collapsed="false">
      <c r="B7" s="6" t="s">
        <v>5</v>
      </c>
      <c r="C7" s="9" t="n">
        <v>0.2</v>
      </c>
      <c r="D7" s="8" t="s">
        <v>6</v>
      </c>
    </row>
    <row r="8" customFormat="false" ht="15" hidden="false" customHeight="true" outlineLevel="0" collapsed="false">
      <c r="B8" s="6" t="s">
        <v>7</v>
      </c>
      <c r="C8" s="10" t="n">
        <f aca="false">C6*C7</f>
        <v>140000</v>
      </c>
    </row>
    <row r="9" customFormat="false" ht="15" hidden="false" customHeight="true" outlineLevel="0" collapsed="false">
      <c r="B9" s="6" t="s">
        <v>8</v>
      </c>
      <c r="C9" s="10" t="n">
        <f aca="false">C6-C8</f>
        <v>560000</v>
      </c>
    </row>
    <row r="10" customFormat="false" ht="15" hidden="false" customHeight="true" outlineLevel="0" collapsed="false">
      <c r="B10" s="6" t="s">
        <v>9</v>
      </c>
      <c r="C10" s="11" t="n">
        <v>20</v>
      </c>
      <c r="D10" s="8" t="s">
        <v>10</v>
      </c>
    </row>
    <row r="11" customFormat="false" ht="15" hidden="false" customHeight="true" outlineLevel="0" collapsed="false">
      <c r="B11" s="6" t="s">
        <v>11</v>
      </c>
      <c r="C11" s="9" t="n">
        <v>0.0825</v>
      </c>
      <c r="D11" s="8" t="s">
        <v>12</v>
      </c>
    </row>
    <row r="12" customFormat="false" ht="15" hidden="false" customHeight="true" outlineLevel="0" collapsed="false">
      <c r="B12" s="6" t="s">
        <v>13</v>
      </c>
      <c r="C12" s="10" t="n">
        <f aca="false">-PMT(C11/12, C10*12, C9)</f>
        <v>4771.56765294088</v>
      </c>
    </row>
    <row r="13" customFormat="false" ht="15" hidden="false" customHeight="true" outlineLevel="0" collapsed="false">
      <c r="B13" s="6" t="s">
        <v>14</v>
      </c>
      <c r="C13" s="10" t="n">
        <f aca="false">C12*12</f>
        <v>57258.8118352905</v>
      </c>
    </row>
    <row r="15" customFormat="false" ht="15" hidden="false" customHeight="true" outlineLevel="0" collapsed="false">
      <c r="B15" s="12" t="s">
        <v>15</v>
      </c>
      <c r="C15" s="13"/>
      <c r="D15" s="13"/>
      <c r="E15" s="13"/>
      <c r="F15" s="13"/>
    </row>
    <row r="16" customFormat="false" ht="15" hidden="false" customHeight="true" outlineLevel="0" collapsed="false">
      <c r="C16" s="14" t="s">
        <v>16</v>
      </c>
      <c r="D16" s="14" t="s">
        <v>17</v>
      </c>
      <c r="E16" s="14" t="s">
        <v>18</v>
      </c>
      <c r="F16" s="14" t="s">
        <v>19</v>
      </c>
    </row>
    <row r="17" customFormat="false" ht="15" hidden="false" customHeight="true" outlineLevel="0" collapsed="false">
      <c r="B17" s="6" t="s">
        <v>20</v>
      </c>
      <c r="C17" s="15" t="n">
        <v>36</v>
      </c>
      <c r="D17" s="15" t="n">
        <v>40</v>
      </c>
      <c r="E17" s="15" t="n">
        <v>44</v>
      </c>
      <c r="F17" s="8" t="s">
        <v>21</v>
      </c>
    </row>
    <row r="18" customFormat="false" ht="15" hidden="false" customHeight="true" outlineLevel="0" collapsed="false">
      <c r="B18" s="6" t="s">
        <v>22</v>
      </c>
      <c r="C18" s="16" t="n">
        <v>0.55</v>
      </c>
      <c r="D18" s="16" t="n">
        <v>0.7</v>
      </c>
      <c r="E18" s="16" t="n">
        <v>0.82</v>
      </c>
      <c r="F18" s="8" t="s">
        <v>23</v>
      </c>
    </row>
    <row r="19" customFormat="false" ht="15" hidden="false" customHeight="true" outlineLevel="0" collapsed="false">
      <c r="B19" s="6" t="s">
        <v>24</v>
      </c>
      <c r="C19" s="17" t="n">
        <f aca="false">C17*C18</f>
        <v>19.8</v>
      </c>
      <c r="D19" s="17" t="n">
        <f aca="false">D17*D18</f>
        <v>28</v>
      </c>
      <c r="E19" s="17" t="n">
        <f aca="false">E17*E18</f>
        <v>36.08</v>
      </c>
    </row>
    <row r="20" customFormat="false" ht="15" hidden="false" customHeight="true" outlineLevel="0" collapsed="false">
      <c r="B20" s="6" t="s">
        <v>25</v>
      </c>
      <c r="C20" s="18" t="n">
        <v>4200</v>
      </c>
      <c r="D20" s="18" t="n">
        <v>5000</v>
      </c>
      <c r="E20" s="18" t="n">
        <v>5800</v>
      </c>
      <c r="F20" s="8" t="s">
        <v>26</v>
      </c>
    </row>
    <row r="21" customFormat="false" ht="15" hidden="false" customHeight="true" outlineLevel="0" collapsed="false">
      <c r="B21" s="6" t="s">
        <v>27</v>
      </c>
      <c r="C21" s="19" t="n">
        <f aca="false">C19*C20</f>
        <v>83160</v>
      </c>
      <c r="D21" s="19" t="n">
        <f aca="false">D19*D20</f>
        <v>140000</v>
      </c>
      <c r="E21" s="19" t="n">
        <f aca="false">E19*E20</f>
        <v>209264</v>
      </c>
    </row>
    <row r="23" customFormat="false" ht="15" hidden="false" customHeight="true" outlineLevel="0" collapsed="false">
      <c r="B23" s="20" t="s">
        <v>28</v>
      </c>
      <c r="C23" s="21"/>
      <c r="D23" s="21"/>
      <c r="E23" s="21"/>
      <c r="F23" s="21"/>
    </row>
    <row r="24" customFormat="false" ht="15" hidden="false" customHeight="true" outlineLevel="0" collapsed="false">
      <c r="C24" s="14" t="s">
        <v>16</v>
      </c>
      <c r="D24" s="14" t="s">
        <v>17</v>
      </c>
      <c r="E24" s="14" t="s">
        <v>18</v>
      </c>
      <c r="F24" s="14" t="s">
        <v>19</v>
      </c>
    </row>
    <row r="25" customFormat="false" ht="15" hidden="false" customHeight="true" outlineLevel="0" collapsed="false">
      <c r="B25" s="6" t="s">
        <v>29</v>
      </c>
      <c r="C25" s="16" t="n">
        <v>0.3</v>
      </c>
      <c r="D25" s="16" t="n">
        <v>0.25</v>
      </c>
      <c r="E25" s="16" t="n">
        <v>0.2</v>
      </c>
      <c r="F25" s="8" t="s">
        <v>30</v>
      </c>
    </row>
    <row r="26" customFormat="false" ht="15" hidden="false" customHeight="true" outlineLevel="0" collapsed="false">
      <c r="B26" s="6" t="s">
        <v>31</v>
      </c>
      <c r="C26" s="19" t="n">
        <f aca="false">C21*C25</f>
        <v>24948</v>
      </c>
      <c r="D26" s="19" t="n">
        <f aca="false">D21*D25</f>
        <v>35000</v>
      </c>
      <c r="E26" s="19" t="n">
        <f aca="false">E21*E25</f>
        <v>41852.8</v>
      </c>
    </row>
    <row r="27" customFormat="false" ht="15" hidden="false" customHeight="true" outlineLevel="0" collapsed="false">
      <c r="B27" s="6" t="s">
        <v>32</v>
      </c>
      <c r="C27" s="18" t="n">
        <v>14000</v>
      </c>
      <c r="D27" s="18" t="n">
        <v>12000</v>
      </c>
      <c r="E27" s="18" t="n">
        <v>10000</v>
      </c>
      <c r="F27" s="8" t="s">
        <v>33</v>
      </c>
    </row>
    <row r="28" customFormat="false" ht="15" hidden="false" customHeight="true" outlineLevel="0" collapsed="false">
      <c r="B28" s="6" t="s">
        <v>34</v>
      </c>
      <c r="C28" s="16" t="n">
        <v>0.03</v>
      </c>
      <c r="D28" s="16" t="n">
        <v>0.025</v>
      </c>
      <c r="E28" s="16" t="n">
        <v>0.02</v>
      </c>
      <c r="F28" s="8" t="s">
        <v>35</v>
      </c>
    </row>
    <row r="29" customFormat="false" ht="15" hidden="false" customHeight="true" outlineLevel="0" collapsed="false">
      <c r="B29" s="6" t="s">
        <v>36</v>
      </c>
      <c r="C29" s="19" t="n">
        <f aca="false">Assumptions!C6*C28</f>
        <v>21000</v>
      </c>
      <c r="D29" s="19" t="n">
        <f aca="false">Assumptions!C6*D28</f>
        <v>17500</v>
      </c>
      <c r="E29" s="19" t="n">
        <f aca="false">Assumptions!C6*E28</f>
        <v>14000</v>
      </c>
    </row>
    <row r="30" customFormat="false" ht="15" hidden="false" customHeight="true" outlineLevel="0" collapsed="false">
      <c r="B30" s="6" t="s">
        <v>37</v>
      </c>
      <c r="C30" s="18" t="n">
        <v>9600</v>
      </c>
      <c r="D30" s="18" t="n">
        <v>7200</v>
      </c>
      <c r="E30" s="18" t="n">
        <v>6000</v>
      </c>
      <c r="F30" s="8" t="s">
        <v>38</v>
      </c>
    </row>
    <row r="31" customFormat="false" ht="15" hidden="false" customHeight="true" outlineLevel="0" collapsed="false">
      <c r="B31" s="6" t="s">
        <v>39</v>
      </c>
      <c r="C31" s="18" t="n">
        <v>6000</v>
      </c>
      <c r="D31" s="18" t="n">
        <v>5000</v>
      </c>
      <c r="E31" s="18" t="n">
        <v>4000</v>
      </c>
      <c r="F31" s="8" t="s">
        <v>40</v>
      </c>
    </row>
    <row r="32" customFormat="false" ht="15" hidden="false" customHeight="true" outlineLevel="0" collapsed="false">
      <c r="B32" s="6" t="s">
        <v>41</v>
      </c>
      <c r="C32" s="18" t="n">
        <v>4800</v>
      </c>
      <c r="D32" s="18" t="n">
        <v>3600</v>
      </c>
      <c r="E32" s="18" t="n">
        <v>2400</v>
      </c>
      <c r="F32" s="8" t="s">
        <v>42</v>
      </c>
    </row>
    <row r="33" customFormat="false" ht="15" hidden="false" customHeight="true" outlineLevel="0" collapsed="false">
      <c r="B33" s="6" t="s">
        <v>43</v>
      </c>
      <c r="C33" s="18" t="n">
        <v>5000</v>
      </c>
      <c r="D33" s="18" t="n">
        <v>3500</v>
      </c>
      <c r="E33" s="18" t="n">
        <v>2000</v>
      </c>
      <c r="F33" s="8" t="s">
        <v>44</v>
      </c>
    </row>
    <row r="34" customFormat="false" ht="15" hidden="false" customHeight="true" outlineLevel="0" collapsed="false">
      <c r="B34" s="6" t="s">
        <v>45</v>
      </c>
      <c r="C34" s="22" t="n">
        <f aca="false">SUM(C26,C27,C29,C30,C31,C32,C33)</f>
        <v>85348</v>
      </c>
      <c r="D34" s="22" t="n">
        <f aca="false">SUM(D26,D27,D29,D30,D31,D32,D33)</f>
        <v>83800</v>
      </c>
      <c r="E34" s="22" t="n">
        <f aca="false">SUM(E26,E27,E29,E30,E31,E32,E33)</f>
        <v>80252.8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24"/>
  </cols>
  <sheetData>
    <row r="2" customFormat="false" ht="17.35" hidden="false" customHeight="false" outlineLevel="0" collapsed="false">
      <c r="B2" s="23" t="s">
        <v>46</v>
      </c>
      <c r="C2" s="23"/>
      <c r="D2" s="23"/>
      <c r="E2" s="23"/>
    </row>
    <row r="3" customFormat="false" ht="15" hidden="false" customHeight="false" outlineLevel="0" collapsed="false">
      <c r="B3" s="24" t="s">
        <v>47</v>
      </c>
      <c r="C3" s="24"/>
      <c r="D3" s="24"/>
      <c r="E3" s="24"/>
    </row>
    <row r="5" customFormat="false" ht="15" hidden="false" customHeight="false" outlineLevel="0" collapsed="false">
      <c r="B5" s="25" t="s">
        <v>48</v>
      </c>
      <c r="C5" s="26"/>
      <c r="D5" s="26"/>
      <c r="E5" s="26"/>
      <c r="F5" s="26"/>
    </row>
    <row r="6" customFormat="false" ht="15" hidden="false" customHeight="false" outlineLevel="0" collapsed="false">
      <c r="B6" s="27" t="s">
        <v>49</v>
      </c>
      <c r="C6" s="28" t="n">
        <v>500000</v>
      </c>
      <c r="F6" s="29" t="s">
        <v>50</v>
      </c>
    </row>
    <row r="7" customFormat="false" ht="15" hidden="false" customHeight="false" outlineLevel="0" collapsed="false">
      <c r="B7" s="27" t="s">
        <v>51</v>
      </c>
      <c r="C7" s="30" t="n">
        <v>0.1</v>
      </c>
      <c r="F7" s="29" t="s">
        <v>52</v>
      </c>
    </row>
    <row r="8" customFormat="false" ht="15" hidden="false" customHeight="false" outlineLevel="0" collapsed="false">
      <c r="B8" s="27" t="s">
        <v>53</v>
      </c>
      <c r="C8" s="31" t="n">
        <f aca="false">C6*C7</f>
        <v>50000</v>
      </c>
    </row>
    <row r="9" customFormat="false" ht="15" hidden="false" customHeight="false" outlineLevel="0" collapsed="false">
      <c r="B9" s="27" t="s">
        <v>54</v>
      </c>
      <c r="C9" s="31" t="n">
        <f aca="false">C6*C7</f>
        <v>50000</v>
      </c>
    </row>
    <row r="10" customFormat="false" ht="15" hidden="false" customHeight="false" outlineLevel="0" collapsed="false">
      <c r="B10" s="27" t="s">
        <v>55</v>
      </c>
      <c r="C10" s="32" t="n">
        <f aca="false">C8+C9</f>
        <v>100000</v>
      </c>
    </row>
    <row r="11" customFormat="false" ht="15" hidden="false" customHeight="false" outlineLevel="0" collapsed="false">
      <c r="B11" s="27" t="s">
        <v>8</v>
      </c>
      <c r="C11" s="31" t="n">
        <f aca="false">C6-C10</f>
        <v>400000</v>
      </c>
    </row>
    <row r="12" customFormat="false" ht="15" hidden="false" customHeight="false" outlineLevel="0" collapsed="false">
      <c r="B12" s="27" t="s">
        <v>9</v>
      </c>
      <c r="C12" s="33" t="n">
        <v>15</v>
      </c>
      <c r="F12" s="29" t="s">
        <v>56</v>
      </c>
    </row>
    <row r="13" customFormat="false" ht="15" hidden="false" customHeight="false" outlineLevel="0" collapsed="false">
      <c r="B13" s="27" t="s">
        <v>57</v>
      </c>
      <c r="C13" s="30" t="n">
        <v>0.0875</v>
      </c>
      <c r="F13" s="29" t="s">
        <v>58</v>
      </c>
    </row>
    <row r="14" customFormat="false" ht="15" hidden="false" customHeight="false" outlineLevel="0" collapsed="false">
      <c r="B14" s="27" t="s">
        <v>59</v>
      </c>
      <c r="C14" s="31" t="n">
        <f aca="false">-PMT(C13/12,C12*12,C11)</f>
        <v>3997.79460259682</v>
      </c>
    </row>
    <row r="15" customFormat="false" ht="15" hidden="false" customHeight="false" outlineLevel="0" collapsed="false">
      <c r="B15" s="27" t="s">
        <v>60</v>
      </c>
      <c r="C15" s="31" t="n">
        <f aca="false">C14*0.5</f>
        <v>1998.89730129841</v>
      </c>
    </row>
    <row r="16" customFormat="false" ht="15" hidden="false" customHeight="false" outlineLevel="0" collapsed="false">
      <c r="B16" s="27" t="s">
        <v>61</v>
      </c>
      <c r="C16" s="31" t="n">
        <f aca="false">C14*0.5</f>
        <v>1998.89730129841</v>
      </c>
    </row>
    <row r="17" customFormat="false" ht="15" hidden="false" customHeight="false" outlineLevel="0" collapsed="false">
      <c r="B17" s="27" t="s">
        <v>62</v>
      </c>
      <c r="C17" s="30" t="n">
        <v>0.5</v>
      </c>
    </row>
    <row r="18" customFormat="false" ht="15" hidden="false" customHeight="false" outlineLevel="0" collapsed="false">
      <c r="B18" s="27" t="s">
        <v>63</v>
      </c>
      <c r="C18" s="30" t="n">
        <v>0.5</v>
      </c>
    </row>
    <row r="20" customFormat="false" ht="15" hidden="false" customHeight="false" outlineLevel="0" collapsed="false">
      <c r="B20" s="34" t="s">
        <v>64</v>
      </c>
      <c r="C20" s="35"/>
      <c r="D20" s="35"/>
      <c r="E20" s="35"/>
      <c r="F20" s="35"/>
    </row>
    <row r="21" customFormat="false" ht="15" hidden="false" customHeight="false" outlineLevel="0" collapsed="false">
      <c r="C21" s="36" t="s">
        <v>16</v>
      </c>
      <c r="D21" s="36" t="s">
        <v>17</v>
      </c>
      <c r="E21" s="36" t="s">
        <v>18</v>
      </c>
      <c r="F21" s="36" t="s">
        <v>19</v>
      </c>
    </row>
    <row r="22" customFormat="false" ht="15" hidden="false" customHeight="false" outlineLevel="0" collapsed="false">
      <c r="B22" s="27" t="s">
        <v>20</v>
      </c>
      <c r="C22" s="15" t="n">
        <v>36</v>
      </c>
      <c r="D22" s="15" t="n">
        <v>40</v>
      </c>
      <c r="E22" s="15" t="n">
        <v>44</v>
      </c>
      <c r="F22" s="29" t="s">
        <v>65</v>
      </c>
    </row>
    <row r="23" customFormat="false" ht="15" hidden="false" customHeight="false" outlineLevel="0" collapsed="false">
      <c r="B23" s="27" t="s">
        <v>22</v>
      </c>
      <c r="C23" s="16" t="n">
        <v>0.5</v>
      </c>
      <c r="D23" s="16" t="n">
        <v>0.65</v>
      </c>
      <c r="E23" s="16" t="n">
        <v>0.78</v>
      </c>
      <c r="F23" s="29" t="s">
        <v>66</v>
      </c>
    </row>
    <row r="24" customFormat="false" ht="15" hidden="false" customHeight="false" outlineLevel="0" collapsed="false">
      <c r="B24" s="27" t="s">
        <v>24</v>
      </c>
      <c r="C24" s="17" t="n">
        <f aca="false">C22*C23</f>
        <v>18</v>
      </c>
      <c r="D24" s="17" t="n">
        <f aca="false">D22*D23</f>
        <v>26</v>
      </c>
      <c r="E24" s="17" t="n">
        <f aca="false">E22*E23</f>
        <v>34.32</v>
      </c>
    </row>
    <row r="25" customFormat="false" ht="15" hidden="false" customHeight="false" outlineLevel="0" collapsed="false">
      <c r="B25" s="27" t="s">
        <v>67</v>
      </c>
      <c r="C25" s="37" t="n">
        <v>7500</v>
      </c>
      <c r="D25" s="37" t="n">
        <v>9000</v>
      </c>
      <c r="E25" s="37" t="n">
        <v>11000</v>
      </c>
      <c r="F25" s="29" t="s">
        <v>68</v>
      </c>
    </row>
    <row r="26" customFormat="false" ht="15" hidden="false" customHeight="false" outlineLevel="0" collapsed="false">
      <c r="B26" s="27" t="s">
        <v>27</v>
      </c>
      <c r="C26" s="38" t="n">
        <f aca="false">C24*C25</f>
        <v>135000</v>
      </c>
      <c r="D26" s="38" t="n">
        <f aca="false">D24*D25</f>
        <v>234000</v>
      </c>
      <c r="E26" s="38" t="n">
        <f aca="false">E24*E25</f>
        <v>377520</v>
      </c>
    </row>
    <row r="28" customFormat="false" ht="15" hidden="false" customHeight="false" outlineLevel="0" collapsed="false">
      <c r="B28" s="39" t="s">
        <v>69</v>
      </c>
      <c r="C28" s="40"/>
      <c r="D28" s="40"/>
      <c r="E28" s="40"/>
      <c r="F28" s="40"/>
    </row>
    <row r="29" customFormat="false" ht="15" hidden="false" customHeight="false" outlineLevel="0" collapsed="false">
      <c r="C29" s="36" t="s">
        <v>16</v>
      </c>
      <c r="D29" s="36" t="s">
        <v>17</v>
      </c>
      <c r="E29" s="36" t="s">
        <v>18</v>
      </c>
      <c r="F29" s="36" t="s">
        <v>19</v>
      </c>
    </row>
    <row r="30" customFormat="false" ht="15" hidden="false" customHeight="false" outlineLevel="0" collapsed="false">
      <c r="B30" s="27" t="s">
        <v>70</v>
      </c>
      <c r="C30" s="16" t="n">
        <v>0.28</v>
      </c>
      <c r="D30" s="16" t="n">
        <v>0.22</v>
      </c>
      <c r="E30" s="16" t="n">
        <v>0.18</v>
      </c>
      <c r="F30" s="29" t="s">
        <v>71</v>
      </c>
    </row>
    <row r="31" customFormat="false" ht="15" hidden="false" customHeight="false" outlineLevel="0" collapsed="false">
      <c r="B31" s="27" t="s">
        <v>72</v>
      </c>
      <c r="C31" s="38" t="n">
        <f aca="false">C26*C30</f>
        <v>37800</v>
      </c>
      <c r="D31" s="38" t="n">
        <f aca="false">D26*D30</f>
        <v>51480</v>
      </c>
      <c r="E31" s="38" t="n">
        <f aca="false">E26*E30</f>
        <v>67953.6</v>
      </c>
    </row>
    <row r="32" customFormat="false" ht="15" hidden="false" customHeight="false" outlineLevel="0" collapsed="false">
      <c r="B32" s="27" t="s">
        <v>73</v>
      </c>
      <c r="C32" s="37" t="n">
        <v>1200</v>
      </c>
      <c r="D32" s="37" t="n">
        <v>1200</v>
      </c>
      <c r="E32" s="37" t="n">
        <v>1200</v>
      </c>
      <c r="F32" s="29" t="s">
        <v>74</v>
      </c>
    </row>
    <row r="33" customFormat="false" ht="15" hidden="false" customHeight="false" outlineLevel="0" collapsed="false">
      <c r="B33" s="27" t="s">
        <v>75</v>
      </c>
      <c r="C33" s="38" t="n">
        <f aca="false">C24*C32</f>
        <v>21600</v>
      </c>
      <c r="D33" s="38" t="n">
        <f aca="false">D24*D32</f>
        <v>31200</v>
      </c>
      <c r="E33" s="38" t="n">
        <f aca="false">E24*E32</f>
        <v>41184</v>
      </c>
    </row>
    <row r="34" customFormat="false" ht="15" hidden="false" customHeight="false" outlineLevel="0" collapsed="false">
      <c r="B34" s="27" t="s">
        <v>76</v>
      </c>
      <c r="C34" s="37" t="n">
        <v>12000</v>
      </c>
      <c r="D34" s="37" t="n">
        <v>10000</v>
      </c>
      <c r="E34" s="37" t="n">
        <v>8500</v>
      </c>
      <c r="F34" s="29" t="s">
        <v>77</v>
      </c>
    </row>
    <row r="35" customFormat="false" ht="15" hidden="false" customHeight="false" outlineLevel="0" collapsed="false">
      <c r="B35" s="27" t="s">
        <v>78</v>
      </c>
      <c r="C35" s="16" t="n">
        <v>0.035</v>
      </c>
      <c r="D35" s="16" t="n">
        <v>0.03</v>
      </c>
      <c r="E35" s="16" t="n">
        <v>0.025</v>
      </c>
      <c r="F35" s="29" t="s">
        <v>79</v>
      </c>
    </row>
    <row r="36" customFormat="false" ht="15" hidden="false" customHeight="false" outlineLevel="0" collapsed="false">
      <c r="B36" s="27" t="s">
        <v>36</v>
      </c>
      <c r="C36" s="38" t="n">
        <f aca="false">C6*C35</f>
        <v>17500</v>
      </c>
      <c r="D36" s="38" t="n">
        <f aca="false">C6*D35</f>
        <v>15000</v>
      </c>
      <c r="E36" s="38" t="n">
        <f aca="false">C6*E35</f>
        <v>12500</v>
      </c>
    </row>
    <row r="37" customFormat="false" ht="15" hidden="false" customHeight="false" outlineLevel="0" collapsed="false">
      <c r="B37" s="27" t="s">
        <v>37</v>
      </c>
      <c r="C37" s="37" t="n">
        <v>9600</v>
      </c>
      <c r="D37" s="37" t="n">
        <v>7200</v>
      </c>
      <c r="E37" s="37" t="n">
        <v>6000</v>
      </c>
    </row>
    <row r="38" customFormat="false" ht="15" hidden="false" customHeight="false" outlineLevel="0" collapsed="false">
      <c r="B38" s="27" t="s">
        <v>39</v>
      </c>
      <c r="C38" s="37" t="n">
        <v>6000</v>
      </c>
      <c r="D38" s="37" t="n">
        <v>5000</v>
      </c>
      <c r="E38" s="37" t="n">
        <v>4000</v>
      </c>
    </row>
    <row r="39" customFormat="false" ht="15" hidden="false" customHeight="false" outlineLevel="0" collapsed="false">
      <c r="B39" s="27" t="s">
        <v>80</v>
      </c>
      <c r="C39" s="37" t="n">
        <v>4800</v>
      </c>
      <c r="D39" s="37" t="n">
        <v>3600</v>
      </c>
      <c r="E39" s="37" t="n">
        <v>2400</v>
      </c>
    </row>
    <row r="40" customFormat="false" ht="15" hidden="false" customHeight="false" outlineLevel="0" collapsed="false">
      <c r="B40" s="27" t="s">
        <v>81</v>
      </c>
      <c r="C40" s="37" t="n">
        <v>5000</v>
      </c>
      <c r="D40" s="37" t="n">
        <v>3500</v>
      </c>
      <c r="E40" s="37" t="n">
        <v>2000</v>
      </c>
    </row>
    <row r="41" customFormat="false" ht="15" hidden="false" customHeight="false" outlineLevel="0" collapsed="false">
      <c r="B41" s="27" t="s">
        <v>45</v>
      </c>
      <c r="C41" s="41" t="n">
        <f aca="false">SUM(C31,C33,C34,C36,C37,C38,C39,C40)</f>
        <v>114300</v>
      </c>
      <c r="D41" s="41" t="n">
        <f aca="false">SUM(D31,D33,D34,D36,D37,D38,D39,D40)</f>
        <v>126980</v>
      </c>
      <c r="E41" s="41" t="n">
        <f aca="false">SUM(E31,E33,E34,E36,E37,E38,E39,E40)</f>
        <v>144537.6</v>
      </c>
    </row>
    <row r="43" customFormat="false" ht="15" hidden="false" customHeight="false" outlineLevel="0" collapsed="false">
      <c r="B43" s="42" t="s">
        <v>82</v>
      </c>
      <c r="C43" s="43"/>
      <c r="D43" s="43"/>
      <c r="E43" s="43"/>
      <c r="F43" s="43"/>
    </row>
    <row r="44" customFormat="false" ht="15" hidden="false" customHeight="false" outlineLevel="0" collapsed="false">
      <c r="C44" s="36" t="s">
        <v>16</v>
      </c>
      <c r="D44" s="36" t="s">
        <v>17</v>
      </c>
      <c r="E44" s="36" t="s">
        <v>18</v>
      </c>
    </row>
    <row r="45" customFormat="false" ht="15" hidden="false" customHeight="false" outlineLevel="0" collapsed="false">
      <c r="B45" s="27" t="s">
        <v>27</v>
      </c>
      <c r="C45" s="44" t="n">
        <f aca="false">C26</f>
        <v>135000</v>
      </c>
      <c r="D45" s="44" t="n">
        <f aca="false">D26</f>
        <v>234000</v>
      </c>
      <c r="E45" s="44" t="n">
        <f aca="false">E26</f>
        <v>377520</v>
      </c>
    </row>
    <row r="46" customFormat="false" ht="15" hidden="false" customHeight="false" outlineLevel="0" collapsed="false">
      <c r="B46" s="27" t="s">
        <v>83</v>
      </c>
      <c r="C46" s="44" t="n">
        <f aca="false">-C41</f>
        <v>-114300</v>
      </c>
      <c r="D46" s="44" t="n">
        <f aca="false">-D41</f>
        <v>-126980</v>
      </c>
      <c r="E46" s="44" t="n">
        <f aca="false">-E41</f>
        <v>-144537.6</v>
      </c>
    </row>
    <row r="47" customFormat="false" ht="15" hidden="false" customHeight="false" outlineLevel="0" collapsed="false">
      <c r="B47" s="45" t="s">
        <v>84</v>
      </c>
      <c r="C47" s="46" t="n">
        <f aca="false">C45+C46</f>
        <v>20700</v>
      </c>
      <c r="D47" s="46" t="n">
        <f aca="false">D45+D46</f>
        <v>107020</v>
      </c>
      <c r="E47" s="46" t="n">
        <f aca="false">E45+E46</f>
        <v>232982.4</v>
      </c>
    </row>
    <row r="48" customFormat="false" ht="15" hidden="false" customHeight="false" outlineLevel="0" collapsed="false">
      <c r="B48" s="27" t="s">
        <v>85</v>
      </c>
      <c r="C48" s="44" t="n">
        <f aca="false">-C14*12</f>
        <v>-47973.5352311618</v>
      </c>
      <c r="D48" s="44" t="n">
        <f aca="false">-C14*12</f>
        <v>-47973.5352311618</v>
      </c>
      <c r="E48" s="44" t="n">
        <f aca="false">-C14*12</f>
        <v>-47973.5352311618</v>
      </c>
    </row>
    <row r="49" customFormat="false" ht="15" hidden="false" customHeight="false" outlineLevel="0" collapsed="false">
      <c r="B49" s="47" t="s">
        <v>86</v>
      </c>
      <c r="C49" s="48" t="n">
        <f aca="false">C47+C48</f>
        <v>-27273.5352311618</v>
      </c>
      <c r="D49" s="48" t="n">
        <f aca="false">D47+D48</f>
        <v>59046.4647688382</v>
      </c>
      <c r="E49" s="48" t="n">
        <f aca="false">E47+E48</f>
        <v>185008.864768838</v>
      </c>
    </row>
    <row r="50" customFormat="false" ht="15" hidden="false" customHeight="false" outlineLevel="0" collapsed="false">
      <c r="B50" s="49"/>
      <c r="C50" s="44"/>
      <c r="D50" s="44"/>
      <c r="E50" s="44"/>
    </row>
    <row r="51" customFormat="false" ht="15" hidden="false" customHeight="false" outlineLevel="0" collapsed="false">
      <c r="B51" s="50" t="s">
        <v>87</v>
      </c>
      <c r="C51" s="44"/>
      <c r="D51" s="44"/>
      <c r="E51" s="44"/>
    </row>
    <row r="52" customFormat="false" ht="15" hidden="false" customHeight="false" outlineLevel="0" collapsed="false">
      <c r="B52" s="27" t="s">
        <v>88</v>
      </c>
      <c r="C52" s="44" t="n">
        <f aca="false">C49*C17</f>
        <v>-13636.7676155809</v>
      </c>
      <c r="D52" s="44" t="n">
        <f aca="false">D49*C17</f>
        <v>29523.2323844191</v>
      </c>
      <c r="E52" s="44" t="n">
        <f aca="false">E49*C17</f>
        <v>92504.4323844191</v>
      </c>
    </row>
    <row r="53" customFormat="false" ht="15" hidden="false" customHeight="false" outlineLevel="0" collapsed="false">
      <c r="B53" s="27" t="s">
        <v>89</v>
      </c>
      <c r="C53" s="44" t="n">
        <f aca="false">-C15*12</f>
        <v>-23986.7676155809</v>
      </c>
      <c r="D53" s="44" t="n">
        <f aca="false">-C15*12</f>
        <v>-23986.7676155809</v>
      </c>
      <c r="E53" s="44" t="n">
        <f aca="false">-C15*12</f>
        <v>-23986.7676155809</v>
      </c>
    </row>
    <row r="54" customFormat="false" ht="15" hidden="false" customHeight="false" outlineLevel="0" collapsed="false">
      <c r="B54" s="51" t="s">
        <v>90</v>
      </c>
      <c r="C54" s="44"/>
      <c r="D54" s="44"/>
      <c r="E54" s="44"/>
    </row>
    <row r="55" customFormat="false" ht="15" hidden="false" customHeight="false" outlineLevel="0" collapsed="false">
      <c r="B55" s="47" t="s">
        <v>91</v>
      </c>
      <c r="C55" s="48" t="n">
        <f aca="false">C52</f>
        <v>-13636.7676155809</v>
      </c>
      <c r="D55" s="48" t="n">
        <f aca="false">D52</f>
        <v>29523.2323844191</v>
      </c>
      <c r="E55" s="48" t="n">
        <f aca="false">E52</f>
        <v>92504.4323844191</v>
      </c>
    </row>
    <row r="56" customFormat="false" ht="15" hidden="false" customHeight="false" outlineLevel="0" collapsed="false">
      <c r="B56" s="45" t="s">
        <v>92</v>
      </c>
      <c r="C56" s="46" t="n">
        <f aca="false">C55/12</f>
        <v>-1136.39730129841</v>
      </c>
      <c r="D56" s="46" t="n">
        <f aca="false">D55/12</f>
        <v>2460.26936536826</v>
      </c>
      <c r="E56" s="46" t="n">
        <f aca="false">E55/12</f>
        <v>7708.70269870159</v>
      </c>
    </row>
    <row r="57" customFormat="false" ht="15" hidden="false" customHeight="false" outlineLevel="0" collapsed="false">
      <c r="B57" s="49"/>
      <c r="C57" s="44"/>
      <c r="D57" s="44"/>
      <c r="E57" s="44"/>
    </row>
    <row r="58" customFormat="false" ht="15" hidden="false" customHeight="false" outlineLevel="0" collapsed="false">
      <c r="B58" s="50" t="s">
        <v>93</v>
      </c>
      <c r="C58" s="44"/>
      <c r="D58" s="44"/>
      <c r="E58" s="44"/>
    </row>
    <row r="59" customFormat="false" ht="15" hidden="false" customHeight="false" outlineLevel="0" collapsed="false">
      <c r="B59" s="27" t="s">
        <v>94</v>
      </c>
      <c r="C59" s="44" t="n">
        <f aca="false">C33</f>
        <v>21600</v>
      </c>
      <c r="D59" s="44" t="n">
        <f aca="false">D33</f>
        <v>31200</v>
      </c>
      <c r="E59" s="44" t="n">
        <f aca="false">E33</f>
        <v>41184</v>
      </c>
    </row>
    <row r="60" customFormat="false" ht="15" hidden="false" customHeight="false" outlineLevel="0" collapsed="false">
      <c r="B60" s="27" t="s">
        <v>95</v>
      </c>
      <c r="C60" s="44" t="n">
        <f aca="false">C49*C18</f>
        <v>-13636.7676155809</v>
      </c>
      <c r="D60" s="44" t="n">
        <f aca="false">D49*C18</f>
        <v>29523.2323844191</v>
      </c>
      <c r="E60" s="44" t="n">
        <f aca="false">E49*C18</f>
        <v>92504.4323844191</v>
      </c>
    </row>
    <row r="61" customFormat="false" ht="15" hidden="false" customHeight="false" outlineLevel="0" collapsed="false">
      <c r="B61" s="47" t="s">
        <v>96</v>
      </c>
      <c r="C61" s="48" t="n">
        <f aca="false">C59+C60</f>
        <v>7963.2323844191</v>
      </c>
      <c r="D61" s="48" t="n">
        <f aca="false">D59+D60</f>
        <v>60723.2323844191</v>
      </c>
      <c r="E61" s="48" t="n">
        <f aca="false">E59+E60</f>
        <v>133688.432384419</v>
      </c>
    </row>
    <row r="62" customFormat="false" ht="15" hidden="false" customHeight="false" outlineLevel="0" collapsed="false">
      <c r="B62" s="45" t="s">
        <v>97</v>
      </c>
      <c r="C62" s="46" t="n">
        <f aca="false">C61/12</f>
        <v>663.602698701592</v>
      </c>
      <c r="D62" s="46" t="n">
        <f aca="false">D61/12</f>
        <v>5060.26936536826</v>
      </c>
      <c r="E62" s="46" t="n">
        <f aca="false">E61/12</f>
        <v>11140.7026987016</v>
      </c>
    </row>
    <row r="63" customFormat="false" ht="15" hidden="false" customHeight="false" outlineLevel="0" collapsed="false">
      <c r="B63" s="49"/>
      <c r="C63" s="44"/>
      <c r="D63" s="44"/>
      <c r="E63" s="44"/>
    </row>
    <row r="64" customFormat="false" ht="15" hidden="false" customHeight="false" outlineLevel="0" collapsed="false">
      <c r="B64" s="52" t="s">
        <v>98</v>
      </c>
      <c r="C64" s="44"/>
      <c r="D64" s="44"/>
      <c r="E64" s="44"/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5" min="3" style="1" width="18"/>
  </cols>
  <sheetData>
    <row r="2" customFormat="false" ht="17.25" hidden="false" customHeight="true" outlineLevel="0" collapsed="false">
      <c r="B2" s="2" t="s">
        <v>99</v>
      </c>
      <c r="C2" s="2"/>
      <c r="D2" s="2"/>
      <c r="E2" s="2"/>
    </row>
    <row r="3" customFormat="false" ht="15" hidden="false" customHeight="true" outlineLevel="0" collapsed="false">
      <c r="C3" s="14" t="s">
        <v>16</v>
      </c>
      <c r="D3" s="14" t="s">
        <v>17</v>
      </c>
      <c r="E3" s="14" t="s">
        <v>18</v>
      </c>
    </row>
    <row r="4" customFormat="false" ht="15" hidden="false" customHeight="true" outlineLevel="0" collapsed="false">
      <c r="B4" s="6" t="s">
        <v>27</v>
      </c>
      <c r="C4" s="53" t="n">
        <f aca="false">Assumptions!C21</f>
        <v>83160</v>
      </c>
      <c r="D4" s="53" t="n">
        <f aca="false">Assumptions!D21</f>
        <v>140000</v>
      </c>
      <c r="E4" s="53" t="n">
        <f aca="false">Assumptions!E21</f>
        <v>209264</v>
      </c>
    </row>
    <row r="5" customFormat="false" ht="15" hidden="false" customHeight="true" outlineLevel="0" collapsed="false">
      <c r="B5" s="6" t="s">
        <v>100</v>
      </c>
      <c r="C5" s="53" t="n">
        <f aca="false">-Assumptions!C26</f>
        <v>-24948</v>
      </c>
      <c r="D5" s="53" t="n">
        <f aca="false">-Assumptions!D26</f>
        <v>-35000</v>
      </c>
      <c r="E5" s="53" t="n">
        <f aca="false">-Assumptions!E26</f>
        <v>-41852.8</v>
      </c>
    </row>
    <row r="6" customFormat="false" ht="15" hidden="false" customHeight="true" outlineLevel="0" collapsed="false">
      <c r="B6" s="6" t="s">
        <v>101</v>
      </c>
      <c r="C6" s="54" t="n">
        <f aca="false">C4+C5</f>
        <v>58212</v>
      </c>
      <c r="D6" s="54" t="n">
        <f aca="false">D4+D5</f>
        <v>105000</v>
      </c>
      <c r="E6" s="54" t="n">
        <f aca="false">E4+E5</f>
        <v>167411.2</v>
      </c>
    </row>
    <row r="7" customFormat="false" ht="15" hidden="false" customHeight="true" outlineLevel="0" collapsed="false">
      <c r="B7" s="55"/>
      <c r="C7" s="56"/>
      <c r="D7" s="56"/>
      <c r="E7" s="56"/>
    </row>
    <row r="8" customFormat="false" ht="15" hidden="false" customHeight="true" outlineLevel="0" collapsed="false">
      <c r="B8" s="6" t="s">
        <v>102</v>
      </c>
      <c r="C8" s="53" t="n">
        <f aca="false">-Assumptions!C27</f>
        <v>-14000</v>
      </c>
      <c r="D8" s="53" t="n">
        <f aca="false">-Assumptions!D27</f>
        <v>-12000</v>
      </c>
      <c r="E8" s="53" t="n">
        <f aca="false">-Assumptions!E27</f>
        <v>-10000</v>
      </c>
    </row>
    <row r="9" customFormat="false" ht="15" hidden="false" customHeight="true" outlineLevel="0" collapsed="false">
      <c r="B9" s="6" t="s">
        <v>103</v>
      </c>
      <c r="C9" s="53" t="n">
        <f aca="false">-Assumptions!C29</f>
        <v>-21000</v>
      </c>
      <c r="D9" s="53" t="n">
        <f aca="false">-Assumptions!D29</f>
        <v>-17500</v>
      </c>
      <c r="E9" s="53" t="n">
        <f aca="false">-Assumptions!E29</f>
        <v>-14000</v>
      </c>
    </row>
    <row r="10" customFormat="false" ht="15" hidden="false" customHeight="true" outlineLevel="0" collapsed="false">
      <c r="B10" s="6" t="s">
        <v>104</v>
      </c>
      <c r="C10" s="53" t="n">
        <f aca="false">-Assumptions!C30</f>
        <v>-9600</v>
      </c>
      <c r="D10" s="53" t="n">
        <f aca="false">-Assumptions!D30</f>
        <v>-7200</v>
      </c>
      <c r="E10" s="53" t="n">
        <f aca="false">-Assumptions!E30</f>
        <v>-6000</v>
      </c>
    </row>
    <row r="11" customFormat="false" ht="15" hidden="false" customHeight="true" outlineLevel="0" collapsed="false">
      <c r="B11" s="6" t="s">
        <v>105</v>
      </c>
      <c r="C11" s="53" t="n">
        <f aca="false">-Assumptions!C31</f>
        <v>-6000</v>
      </c>
      <c r="D11" s="53" t="n">
        <f aca="false">-Assumptions!D31</f>
        <v>-5000</v>
      </c>
      <c r="E11" s="53" t="n">
        <f aca="false">-Assumptions!E31</f>
        <v>-4000</v>
      </c>
    </row>
    <row r="12" customFormat="false" ht="15" hidden="false" customHeight="true" outlineLevel="0" collapsed="false">
      <c r="B12" s="6" t="s">
        <v>106</v>
      </c>
      <c r="C12" s="53" t="n">
        <f aca="false">-Assumptions!C32</f>
        <v>-4800</v>
      </c>
      <c r="D12" s="53" t="n">
        <f aca="false">-Assumptions!D32</f>
        <v>-3600</v>
      </c>
      <c r="E12" s="53" t="n">
        <f aca="false">-Assumptions!E32</f>
        <v>-2400</v>
      </c>
    </row>
    <row r="13" customFormat="false" ht="15" hidden="false" customHeight="true" outlineLevel="0" collapsed="false">
      <c r="B13" s="6" t="s">
        <v>107</v>
      </c>
      <c r="C13" s="53" t="n">
        <f aca="false">-Assumptions!C33</f>
        <v>-5000</v>
      </c>
      <c r="D13" s="53" t="n">
        <f aca="false">-Assumptions!D33</f>
        <v>-3500</v>
      </c>
      <c r="E13" s="53" t="n">
        <f aca="false">-Assumptions!E33</f>
        <v>-2000</v>
      </c>
    </row>
    <row r="14" customFormat="false" ht="15" hidden="false" customHeight="true" outlineLevel="0" collapsed="false">
      <c r="B14" s="57" t="s">
        <v>108</v>
      </c>
      <c r="C14" s="58" t="n">
        <f aca="false">C6+SUM(C8:C13)</f>
        <v>-2188</v>
      </c>
      <c r="D14" s="58" t="n">
        <f aca="false">D6+SUM(D8:D13)</f>
        <v>56200</v>
      </c>
      <c r="E14" s="58" t="n">
        <f aca="false">E6+SUM(E8:E13)</f>
        <v>129011.2</v>
      </c>
    </row>
    <row r="15" customFormat="false" ht="15" hidden="false" customHeight="true" outlineLevel="0" collapsed="false">
      <c r="B15" s="55"/>
      <c r="C15" s="56"/>
      <c r="D15" s="56"/>
      <c r="E15" s="56"/>
    </row>
    <row r="16" customFormat="false" ht="15" hidden="false" customHeight="true" outlineLevel="0" collapsed="false">
      <c r="B16" s="6" t="s">
        <v>85</v>
      </c>
      <c r="C16" s="53" t="n">
        <f aca="false">-Assumptions!C13</f>
        <v>-57258.8118352905</v>
      </c>
      <c r="D16" s="53" t="n">
        <f aca="false">-Assumptions!C13</f>
        <v>-57258.8118352905</v>
      </c>
      <c r="E16" s="53" t="n">
        <f aca="false">-Assumptions!C13</f>
        <v>-57258.8118352905</v>
      </c>
    </row>
    <row r="17" customFormat="false" ht="15" hidden="false" customHeight="true" outlineLevel="0" collapsed="false">
      <c r="B17" s="57" t="s">
        <v>109</v>
      </c>
      <c r="C17" s="59" t="n">
        <f aca="false">C14+C16</f>
        <v>-59446.8118352905</v>
      </c>
      <c r="D17" s="59" t="n">
        <f aca="false">D14+D16</f>
        <v>-1058.81183529054</v>
      </c>
      <c r="E17" s="59" t="n">
        <f aca="false">E14+E16</f>
        <v>71752.3881647095</v>
      </c>
    </row>
    <row r="18" customFormat="false" ht="15" hidden="false" customHeight="true" outlineLevel="0" collapsed="false">
      <c r="B18" s="6" t="s">
        <v>110</v>
      </c>
      <c r="C18" s="54" t="n">
        <f aca="false">C17/12</f>
        <v>-4953.90098627421</v>
      </c>
      <c r="D18" s="54" t="n">
        <f aca="false">D17/12</f>
        <v>-88.2343196075453</v>
      </c>
      <c r="E18" s="54" t="n">
        <f aca="false">E17/12</f>
        <v>5979.36568039246</v>
      </c>
    </row>
    <row r="19" customFormat="false" ht="15" hidden="false" customHeight="true" outlineLevel="0" collapsed="false">
      <c r="B19" s="55"/>
      <c r="C19" s="56"/>
      <c r="D19" s="56"/>
      <c r="E19" s="56"/>
    </row>
    <row r="20" customFormat="false" ht="15" hidden="false" customHeight="true" outlineLevel="0" collapsed="false">
      <c r="B20" s="6" t="s">
        <v>111</v>
      </c>
      <c r="C20" s="56"/>
      <c r="D20" s="56"/>
      <c r="E20" s="56"/>
    </row>
    <row r="21" customFormat="false" ht="15" hidden="false" customHeight="true" outlineLevel="0" collapsed="false">
      <c r="B21" s="6" t="s">
        <v>112</v>
      </c>
      <c r="C21" s="53" t="n">
        <f aca="false">Assumptions!C17</f>
        <v>36</v>
      </c>
      <c r="D21" s="53" t="n">
        <f aca="false">Assumptions!D17</f>
        <v>40</v>
      </c>
      <c r="E21" s="53" t="n">
        <f aca="false">Assumptions!E17</f>
        <v>44</v>
      </c>
    </row>
    <row r="22" customFormat="false" ht="15" hidden="false" customHeight="true" outlineLevel="0" collapsed="false">
      <c r="B22" s="6" t="s">
        <v>113</v>
      </c>
      <c r="C22" s="56" t="n">
        <f aca="false">52-C21</f>
        <v>16</v>
      </c>
      <c r="D22" s="56" t="n">
        <f aca="false">52-D21</f>
        <v>12</v>
      </c>
      <c r="E22" s="56" t="n">
        <f aca="false">52-E21</f>
        <v>8</v>
      </c>
    </row>
    <row r="23" customFormat="false" ht="15" hidden="false" customHeight="true" outlineLevel="0" collapsed="false">
      <c r="B23" s="6" t="s">
        <v>114</v>
      </c>
      <c r="C23" s="56" t="n">
        <f aca="false">IF(C22=0,0,-C17/C22)</f>
        <v>3715.42573970566</v>
      </c>
      <c r="D23" s="56" t="n">
        <f aca="false">IF(D22=0,0,-D17/D22)</f>
        <v>88.2343196075453</v>
      </c>
      <c r="E23" s="56" t="n">
        <f aca="false">IF(E22=0,0,-E17/E22)</f>
        <v>-8969.04852058868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B2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12" min="3" style="1" width="14"/>
  </cols>
  <sheetData>
    <row r="2" customFormat="false" ht="17.25" hidden="false" customHeight="true" outlineLevel="0" collapsed="false">
      <c r="B2" s="2" t="s">
        <v>115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" t="s">
        <v>116</v>
      </c>
      <c r="C4" s="60" t="n">
        <v>0.03</v>
      </c>
      <c r="D4" s="8" t="s">
        <v>117</v>
      </c>
    </row>
    <row r="5" customFormat="false" ht="15" hidden="false" customHeight="true" outlineLevel="0" collapsed="false">
      <c r="B5" s="1" t="s">
        <v>118</v>
      </c>
      <c r="C5" s="60" t="n">
        <v>0.035</v>
      </c>
      <c r="D5" s="8" t="s">
        <v>119</v>
      </c>
    </row>
    <row r="6" customFormat="false" ht="15" hidden="false" customHeight="true" outlineLevel="0" collapsed="false">
      <c r="B6" s="1" t="s">
        <v>120</v>
      </c>
      <c r="C6" s="60" t="n">
        <v>0.04</v>
      </c>
      <c r="D6" s="8" t="s">
        <v>121</v>
      </c>
    </row>
    <row r="8" customFormat="false" ht="15" hidden="false" customHeight="true" outlineLevel="0" collapsed="false">
      <c r="B8" s="61"/>
      <c r="C8" s="14" t="s">
        <v>122</v>
      </c>
      <c r="D8" s="14" t="s">
        <v>123</v>
      </c>
      <c r="E8" s="14" t="s">
        <v>124</v>
      </c>
      <c r="F8" s="14" t="s">
        <v>125</v>
      </c>
      <c r="G8" s="14" t="s">
        <v>126</v>
      </c>
      <c r="H8" s="14" t="s">
        <v>127</v>
      </c>
      <c r="I8" s="14" t="s">
        <v>128</v>
      </c>
      <c r="J8" s="14" t="s">
        <v>129</v>
      </c>
      <c r="K8" s="14" t="s">
        <v>130</v>
      </c>
      <c r="L8" s="14" t="s">
        <v>131</v>
      </c>
    </row>
    <row r="9" customFormat="false" ht="15" hidden="false" customHeight="true" outlineLevel="0" collapsed="false">
      <c r="B9" s="6" t="s">
        <v>27</v>
      </c>
      <c r="C9" s="62" t="n">
        <f aca="false">Assumptions!D21</f>
        <v>140000</v>
      </c>
      <c r="D9" s="10" t="n">
        <f aca="false">C9*(1+$C$4)</f>
        <v>144200</v>
      </c>
      <c r="E9" s="10" t="n">
        <f aca="false">D9*(1+$C$4)</f>
        <v>148526</v>
      </c>
      <c r="F9" s="10" t="n">
        <f aca="false">E9*(1+$C$4)</f>
        <v>152981.78</v>
      </c>
      <c r="G9" s="10" t="n">
        <f aca="false">F9*(1+$C$4)</f>
        <v>157571.2334</v>
      </c>
      <c r="H9" s="10" t="n">
        <f aca="false">G9*(1+$C$4)</f>
        <v>162298.370402</v>
      </c>
      <c r="I9" s="10" t="n">
        <f aca="false">H9*(1+$C$4)</f>
        <v>167167.32151406</v>
      </c>
      <c r="J9" s="10" t="n">
        <f aca="false">I9*(1+$C$4)</f>
        <v>172182.341159482</v>
      </c>
      <c r="K9" s="10" t="n">
        <f aca="false">J9*(1+$C$4)</f>
        <v>177347.811394266</v>
      </c>
      <c r="L9" s="10" t="n">
        <f aca="false">K9*(1+$C$4)</f>
        <v>182668.245736094</v>
      </c>
    </row>
    <row r="10" customFormat="false" ht="15" hidden="false" customHeight="true" outlineLevel="0" collapsed="false">
      <c r="B10" s="6" t="s">
        <v>45</v>
      </c>
      <c r="C10" s="62" t="n">
        <f aca="false">Assumptions!D34</f>
        <v>83800</v>
      </c>
      <c r="D10" s="10" t="n">
        <f aca="false">C10*(1+$C$5)</f>
        <v>86733</v>
      </c>
      <c r="E10" s="10" t="n">
        <f aca="false">D10*(1+$C$5)</f>
        <v>89768.655</v>
      </c>
      <c r="F10" s="10" t="n">
        <f aca="false">E10*(1+$C$5)</f>
        <v>92910.557925</v>
      </c>
      <c r="G10" s="10" t="n">
        <f aca="false">F10*(1+$C$5)</f>
        <v>96162.427452375</v>
      </c>
      <c r="H10" s="10" t="n">
        <f aca="false">G10*(1+$C$5)</f>
        <v>99528.1124132081</v>
      </c>
      <c r="I10" s="10" t="n">
        <f aca="false">H10*(1+$C$5)</f>
        <v>103011.59634767</v>
      </c>
      <c r="J10" s="10" t="n">
        <f aca="false">I10*(1+$C$5)</f>
        <v>106617.002219839</v>
      </c>
      <c r="K10" s="10" t="n">
        <f aca="false">J10*(1+$C$5)</f>
        <v>110348.597297533</v>
      </c>
      <c r="L10" s="10" t="n">
        <f aca="false">K10*(1+$C$5)</f>
        <v>114210.798202947</v>
      </c>
    </row>
    <row r="11" customFormat="false" ht="15" hidden="false" customHeight="true" outlineLevel="0" collapsed="false">
      <c r="B11" s="6" t="s">
        <v>84</v>
      </c>
      <c r="C11" s="63" t="n">
        <f aca="false">C9-C10</f>
        <v>56200</v>
      </c>
      <c r="D11" s="63" t="n">
        <f aca="false">D9-D10</f>
        <v>57467</v>
      </c>
      <c r="E11" s="63" t="n">
        <f aca="false">E9-E10</f>
        <v>58757.345</v>
      </c>
      <c r="F11" s="63" t="n">
        <f aca="false">F9-F10</f>
        <v>60071.222075</v>
      </c>
      <c r="G11" s="63" t="n">
        <f aca="false">G9-G10</f>
        <v>61408.805947625</v>
      </c>
      <c r="H11" s="63" t="n">
        <f aca="false">H9-H10</f>
        <v>62770.2579887919</v>
      </c>
      <c r="I11" s="63" t="n">
        <f aca="false">I9-I10</f>
        <v>64155.7251663896</v>
      </c>
      <c r="J11" s="63" t="n">
        <f aca="false">J9-J10</f>
        <v>65565.338939643</v>
      </c>
      <c r="K11" s="63" t="n">
        <f aca="false">K9-K10</f>
        <v>66999.2140967331</v>
      </c>
      <c r="L11" s="63" t="n">
        <f aca="false">L9-L10</f>
        <v>68457.4475331474</v>
      </c>
    </row>
    <row r="12" customFormat="false" ht="15" hidden="false" customHeight="true" outlineLevel="0" collapsed="false">
      <c r="B12" s="6" t="s">
        <v>132</v>
      </c>
      <c r="C12" s="62" t="n">
        <f aca="false">Assumptions!C13</f>
        <v>57258.8118352905</v>
      </c>
      <c r="D12" s="62" t="n">
        <f aca="false">Assumptions!C13</f>
        <v>57258.8118352905</v>
      </c>
      <c r="E12" s="62" t="n">
        <f aca="false">Assumptions!C13</f>
        <v>57258.8118352905</v>
      </c>
      <c r="F12" s="62" t="n">
        <f aca="false">Assumptions!C13</f>
        <v>57258.8118352905</v>
      </c>
      <c r="G12" s="62" t="n">
        <f aca="false">Assumptions!C13</f>
        <v>57258.8118352905</v>
      </c>
      <c r="H12" s="62" t="n">
        <f aca="false">Assumptions!C13</f>
        <v>57258.8118352905</v>
      </c>
      <c r="I12" s="62" t="n">
        <f aca="false">Assumptions!C13</f>
        <v>57258.8118352905</v>
      </c>
      <c r="J12" s="62" t="n">
        <f aca="false">Assumptions!C13</f>
        <v>57258.8118352905</v>
      </c>
      <c r="K12" s="62" t="n">
        <f aca="false">Assumptions!C13</f>
        <v>57258.8118352905</v>
      </c>
      <c r="L12" s="62" t="n">
        <f aca="false">Assumptions!C13</f>
        <v>57258.8118352905</v>
      </c>
    </row>
    <row r="13" customFormat="false" ht="15" hidden="false" customHeight="true" outlineLevel="0" collapsed="false">
      <c r="B13" s="6" t="s">
        <v>133</v>
      </c>
      <c r="C13" s="64" t="n">
        <f aca="false">C11-C12</f>
        <v>-1058.81183529054</v>
      </c>
      <c r="D13" s="64" t="n">
        <f aca="false">D11-D12</f>
        <v>208.188164709456</v>
      </c>
      <c r="E13" s="64" t="n">
        <f aca="false">E11-E12</f>
        <v>1498.53316470946</v>
      </c>
      <c r="F13" s="64" t="n">
        <f aca="false">F11-F12</f>
        <v>2812.41023970947</v>
      </c>
      <c r="G13" s="64" t="n">
        <f aca="false">G11-G12</f>
        <v>4149.99411233448</v>
      </c>
      <c r="H13" s="64" t="n">
        <f aca="false">H11-H12</f>
        <v>5511.44615350137</v>
      </c>
      <c r="I13" s="64" t="n">
        <f aca="false">I11-I12</f>
        <v>6896.91333109909</v>
      </c>
      <c r="J13" s="64" t="n">
        <f aca="false">J11-J12</f>
        <v>8306.52710435243</v>
      </c>
      <c r="K13" s="64" t="n">
        <f aca="false">K11-K12</f>
        <v>9740.40226144255</v>
      </c>
      <c r="L13" s="64" t="n">
        <f aca="false">L11-L12</f>
        <v>11198.6356978569</v>
      </c>
    </row>
    <row r="14" customFormat="false" ht="15" hidden="false" customHeight="true" outlineLevel="0" collapsed="false">
      <c r="B14" s="55"/>
      <c r="C14" s="65"/>
      <c r="D14" s="65"/>
      <c r="E14" s="65"/>
      <c r="F14" s="65"/>
      <c r="G14" s="65"/>
      <c r="H14" s="65"/>
      <c r="I14" s="65"/>
      <c r="J14" s="65"/>
      <c r="K14" s="65"/>
      <c r="L14" s="65"/>
    </row>
    <row r="15" customFormat="false" ht="15" hidden="false" customHeight="true" outlineLevel="0" collapsed="false">
      <c r="B15" s="6" t="s">
        <v>134</v>
      </c>
      <c r="C15" s="63" t="n">
        <f aca="false">C13</f>
        <v>-1058.81183529054</v>
      </c>
      <c r="D15" s="63" t="n">
        <f aca="false">C15+D13</f>
        <v>-850.623670581088</v>
      </c>
      <c r="E15" s="63" t="n">
        <f aca="false">D15+E13</f>
        <v>647.909494128369</v>
      </c>
      <c r="F15" s="63" t="n">
        <f aca="false">E15+F13</f>
        <v>3460.31973383784</v>
      </c>
      <c r="G15" s="63" t="n">
        <f aca="false">F15+G13</f>
        <v>7610.31384617231</v>
      </c>
      <c r="H15" s="63" t="n">
        <f aca="false">G15+H13</f>
        <v>13121.7599996737</v>
      </c>
      <c r="I15" s="63" t="n">
        <f aca="false">H15+I13</f>
        <v>20018.6733307728</v>
      </c>
      <c r="J15" s="63" t="n">
        <f aca="false">I15+J13</f>
        <v>28325.2004351252</v>
      </c>
      <c r="K15" s="63" t="n">
        <f aca="false">J15+K13</f>
        <v>38065.6026965677</v>
      </c>
      <c r="L15" s="63" t="n">
        <f aca="false">K15+L13</f>
        <v>49264.2383944246</v>
      </c>
    </row>
    <row r="16" customFormat="false" ht="15" hidden="false" customHeight="true" outlineLevel="0" collapsed="false">
      <c r="B16" s="6" t="s">
        <v>135</v>
      </c>
      <c r="C16" s="10" t="n">
        <f aca="false">Assumptions!C6*(1-$C$6)</f>
        <v>672000</v>
      </c>
      <c r="D16" s="10" t="n">
        <f aca="false">C16*(1-$C$6)</f>
        <v>645120</v>
      </c>
      <c r="E16" s="10" t="n">
        <f aca="false">D16*(1-$C$6)</f>
        <v>619315.2</v>
      </c>
      <c r="F16" s="10" t="n">
        <f aca="false">E16*(1-$C$6)</f>
        <v>594542.592</v>
      </c>
      <c r="G16" s="10" t="n">
        <f aca="false">F16*(1-$C$6)</f>
        <v>570760.88832</v>
      </c>
      <c r="H16" s="10" t="n">
        <f aca="false">G16*(1-$C$6)</f>
        <v>547930.4527872</v>
      </c>
      <c r="I16" s="10" t="n">
        <f aca="false">H16*(1-$C$6)</f>
        <v>526013.234675712</v>
      </c>
      <c r="J16" s="10" t="n">
        <f aca="false">I16*(1-$C$6)</f>
        <v>504972.705288683</v>
      </c>
      <c r="K16" s="10" t="n">
        <f aca="false">J16*(1-$C$6)</f>
        <v>484773.797077136</v>
      </c>
      <c r="L16" s="10" t="n">
        <f aca="false">K16*(1-$C$6)</f>
        <v>465382.845194051</v>
      </c>
    </row>
    <row r="17" customFormat="false" ht="15" hidden="false" customHeight="true" outlineLevel="0" collapsed="false">
      <c r="B17" s="6" t="s">
        <v>136</v>
      </c>
      <c r="C17" s="10" t="n">
        <f aca="false">IF(Assumptions!C9&gt;0, PV(Assumptions!C11/12, (Assumptions!C10-1)*12, -Assumptions!C12), 0)</f>
        <v>548513.294099883</v>
      </c>
      <c r="D17" s="10" t="n">
        <f aca="false">IF(Assumptions!C9&gt;0, PV(Assumptions!C11/12, (Assumptions!C10-2)*12, -Assumptions!C12), 0)</f>
        <v>536042.26780549</v>
      </c>
      <c r="E17" s="10" t="n">
        <f aca="false">IF(Assumptions!C9&gt;0, PV(Assumptions!C11/12, (Assumptions!C10-3)*12, -Assumptions!C12), 0)</f>
        <v>522502.572597148</v>
      </c>
      <c r="F17" s="10" t="n">
        <f aca="false">IF(Assumptions!C9&gt;0, PV(Assumptions!C11/12, (Assumptions!C10-4)*12, -Assumptions!C12), 0)</f>
        <v>507802.631950142</v>
      </c>
      <c r="G17" s="10" t="n">
        <f aca="false">IF(Assumptions!C9&gt;0, PV(Assumptions!C11/12, (Assumptions!C10-5)*12, -Assumptions!C12), 0)</f>
        <v>491843.021951512</v>
      </c>
      <c r="H17" s="10" t="n">
        <f aca="false">IF(Assumptions!C9&gt;0, PV(Assumptions!C11/12, (Assumptions!C10-6)*12, -Assumptions!C12), 0)</f>
        <v>474515.798840561</v>
      </c>
      <c r="I17" s="10" t="n">
        <f aca="false">IF(Assumptions!C9&gt;0, PV(Assumptions!C11/12, (Assumptions!C10-7)*12, -Assumptions!C12), 0)</f>
        <v>455703.768924892</v>
      </c>
      <c r="J17" s="10" t="n">
        <f aca="false">IF(Assumptions!C9&gt;0, PV(Assumptions!C11/12, (Assumptions!C10-8)*12, -Assumptions!C12), 0)</f>
        <v>435279.695933969</v>
      </c>
      <c r="K17" s="10" t="n">
        <f aca="false">IF(Assumptions!C9&gt;0, PV(Assumptions!C11/12, (Assumptions!C10-9)*12, -Assumptions!C12), 0)</f>
        <v>413105.440449129</v>
      </c>
      <c r="L17" s="10" t="n">
        <f aca="false">IF(Assumptions!C9&gt;0, PV(Assumptions!C11/12, (Assumptions!C10-10)*12, -Assumptions!C12), 0)</f>
        <v>389031.025589492</v>
      </c>
    </row>
    <row r="18" customFormat="false" ht="15" hidden="false" customHeight="true" outlineLevel="0" collapsed="false">
      <c r="B18" s="6" t="s">
        <v>137</v>
      </c>
      <c r="C18" s="64" t="n">
        <f aca="false">C16-C17</f>
        <v>123486.705900117</v>
      </c>
      <c r="D18" s="64" t="n">
        <f aca="false">D16-D17</f>
        <v>109077.73219451</v>
      </c>
      <c r="E18" s="64" t="n">
        <f aca="false">E16-E17</f>
        <v>96812.6274028524</v>
      </c>
      <c r="F18" s="64" t="n">
        <f aca="false">F16-F17</f>
        <v>86739.9600498576</v>
      </c>
      <c r="G18" s="64" t="n">
        <f aca="false">G16-G17</f>
        <v>78917.8663684882</v>
      </c>
      <c r="H18" s="64" t="n">
        <f aca="false">H16-H17</f>
        <v>73414.6539466388</v>
      </c>
      <c r="I18" s="64" t="n">
        <f aca="false">I16-I17</f>
        <v>70309.4657508204</v>
      </c>
      <c r="J18" s="64" t="n">
        <f aca="false">J16-J17</f>
        <v>69693.009354714</v>
      </c>
      <c r="K18" s="64" t="n">
        <f aca="false">K16-K17</f>
        <v>71668.3566280071</v>
      </c>
      <c r="L18" s="64" t="n">
        <f aca="false">L16-L17</f>
        <v>76351.8196045588</v>
      </c>
    </row>
    <row r="19" customFormat="false" ht="15" hidden="false" customHeight="true" outlineLevel="0" collapsed="false">
      <c r="B19" s="55"/>
      <c r="C19" s="65"/>
      <c r="D19" s="65"/>
      <c r="E19" s="65"/>
      <c r="F19" s="65"/>
      <c r="G19" s="65"/>
      <c r="H19" s="65"/>
      <c r="I19" s="65"/>
      <c r="J19" s="65"/>
      <c r="K19" s="65"/>
      <c r="L19" s="65"/>
    </row>
    <row r="20" customFormat="false" ht="15" hidden="false" customHeight="true" outlineLevel="0" collapsed="false">
      <c r="B20" s="6" t="s">
        <v>138</v>
      </c>
      <c r="C20" s="66" t="n">
        <f aca="false">C18+C15</f>
        <v>122427.894064826</v>
      </c>
      <c r="D20" s="66" t="n">
        <f aca="false">D18+D15</f>
        <v>108227.108523929</v>
      </c>
      <c r="E20" s="66" t="n">
        <f aca="false">E18+E15</f>
        <v>97460.5368969808</v>
      </c>
      <c r="F20" s="66" t="n">
        <f aca="false">F18+F15</f>
        <v>90200.2797836955</v>
      </c>
      <c r="G20" s="66" t="n">
        <f aca="false">G18+G15</f>
        <v>86528.1802146605</v>
      </c>
      <c r="H20" s="66" t="n">
        <f aca="false">H18+H15</f>
        <v>86536.4139463124</v>
      </c>
      <c r="I20" s="66" t="n">
        <f aca="false">I18+I15</f>
        <v>90328.1390815931</v>
      </c>
      <c r="J20" s="66" t="n">
        <f aca="false">J18+J15</f>
        <v>98018.2097898392</v>
      </c>
      <c r="K20" s="66" t="n">
        <f aca="false">K18+K15</f>
        <v>109733.959324575</v>
      </c>
      <c r="L20" s="66" t="n">
        <f aca="false">L18+L15</f>
        <v>125616.057998983</v>
      </c>
    </row>
    <row r="21" customFormat="false" ht="15" hidden="false" customHeight="true" outlineLevel="0" collapsed="false">
      <c r="B21" s="6" t="s">
        <v>139</v>
      </c>
      <c r="C21" s="63" t="n">
        <f aca="false">C20-Assumptions!C8</f>
        <v>-17572.1059351737</v>
      </c>
      <c r="D21" s="63" t="n">
        <f aca="false">D20-Assumptions!C8</f>
        <v>-31772.8914760713</v>
      </c>
      <c r="E21" s="63" t="n">
        <f aca="false">E20-Assumptions!C8</f>
        <v>-42539.4631030192</v>
      </c>
      <c r="F21" s="63" t="n">
        <f aca="false">F20-Assumptions!C8</f>
        <v>-49799.7202163045</v>
      </c>
      <c r="G21" s="63" t="n">
        <f aca="false">G20-Assumptions!C8</f>
        <v>-53471.8197853395</v>
      </c>
      <c r="H21" s="63" t="n">
        <f aca="false">H20-Assumptions!C8</f>
        <v>-53463.5860536876</v>
      </c>
      <c r="I21" s="63" t="n">
        <f aca="false">I20-Assumptions!C8</f>
        <v>-49671.8609184069</v>
      </c>
      <c r="J21" s="63" t="n">
        <f aca="false">J20-Assumptions!C8</f>
        <v>-41981.7902101608</v>
      </c>
      <c r="K21" s="63" t="n">
        <f aca="false">K20-Assumptions!C8</f>
        <v>-30266.0406754251</v>
      </c>
      <c r="L21" s="63" t="n">
        <f aca="false">L20-Assumptions!C8</f>
        <v>-14383.9420010166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2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</cols>
  <sheetData>
    <row r="2" customFormat="false" ht="17.25" hidden="false" customHeight="true" outlineLevel="0" collapsed="false">
      <c r="B2" s="67" t="s">
        <v>140</v>
      </c>
    </row>
    <row r="4" customFormat="false" ht="15" hidden="false" customHeight="true" outlineLevel="0" collapsed="false">
      <c r="B4" s="68" t="s">
        <v>141</v>
      </c>
    </row>
    <row r="5" customFormat="false" ht="45.75" hidden="false" customHeight="true" outlineLevel="0" collapsed="false">
      <c r="B5" s="69" t="s">
        <v>142</v>
      </c>
    </row>
    <row r="7" customFormat="false" ht="15" hidden="false" customHeight="true" outlineLevel="0" collapsed="false">
      <c r="B7" s="68" t="s">
        <v>143</v>
      </c>
    </row>
    <row r="8" customFormat="false" ht="23.25" hidden="false" customHeight="true" outlineLevel="0" collapsed="false">
      <c r="B8" s="69" t="s">
        <v>144</v>
      </c>
    </row>
    <row r="10" customFormat="false" ht="15" hidden="false" customHeight="true" outlineLevel="0" collapsed="false">
      <c r="B10" s="68" t="s">
        <v>145</v>
      </c>
    </row>
    <row r="11" customFormat="false" ht="23.25" hidden="false" customHeight="true" outlineLevel="0" collapsed="false">
      <c r="B11" s="69" t="s">
        <v>146</v>
      </c>
    </row>
    <row r="13" customFormat="false" ht="15" hidden="false" customHeight="true" outlineLevel="0" collapsed="false">
      <c r="B13" s="68" t="s">
        <v>147</v>
      </c>
    </row>
    <row r="14" customFormat="false" ht="23.25" hidden="false" customHeight="true" outlineLevel="0" collapsed="false">
      <c r="B14" s="69" t="s">
        <v>148</v>
      </c>
    </row>
    <row r="16" customFormat="false" ht="15" hidden="false" customHeight="true" outlineLevel="0" collapsed="false">
      <c r="B16" s="68" t="s">
        <v>149</v>
      </c>
    </row>
    <row r="17" customFormat="false" ht="23.25" hidden="false" customHeight="true" outlineLevel="0" collapsed="false">
      <c r="B17" s="69" t="s">
        <v>150</v>
      </c>
    </row>
    <row r="19" customFormat="false" ht="15" hidden="false" customHeight="true" outlineLevel="0" collapsed="false">
      <c r="B19" s="68" t="s">
        <v>151</v>
      </c>
    </row>
    <row r="20" customFormat="false" ht="34.5" hidden="false" customHeight="true" outlineLevel="0" collapsed="false">
      <c r="B20" s="69" t="s">
        <v>152</v>
      </c>
    </row>
    <row r="22" customFormat="false" ht="15" hidden="false" customHeight="true" outlineLevel="0" collapsed="false">
      <c r="B22" s="68" t="s">
        <v>153</v>
      </c>
    </row>
    <row r="23" customFormat="false" ht="34.5" hidden="false" customHeight="true" outlineLevel="0" collapsed="false">
      <c r="B23" s="69" t="s">
        <v>154</v>
      </c>
    </row>
    <row r="25" customFormat="false" ht="15" hidden="false" customHeight="true" outlineLevel="0" collapsed="false">
      <c r="B25" s="68" t="s">
        <v>155</v>
      </c>
    </row>
    <row r="26" customFormat="false" ht="34.5" hidden="false" customHeight="true" outlineLevel="0" collapsed="false">
      <c r="B26" s="69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2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11" min="5" style="0" width="14"/>
  </cols>
  <sheetData>
    <row r="2" customFormat="false" ht="17.35" hidden="false" customHeight="false" outlineLevel="0" collapsed="false">
      <c r="B2" s="23" t="s">
        <v>157</v>
      </c>
      <c r="C2" s="23"/>
      <c r="D2" s="23"/>
      <c r="E2" s="23"/>
      <c r="F2" s="23"/>
      <c r="G2" s="23"/>
      <c r="H2" s="23"/>
    </row>
    <row r="3" customFormat="false" ht="15" hidden="false" customHeight="false" outlineLevel="0" collapsed="false">
      <c r="B3" s="24" t="s">
        <v>158</v>
      </c>
      <c r="C3" s="24"/>
      <c r="D3" s="24"/>
      <c r="E3" s="24"/>
      <c r="F3" s="24"/>
      <c r="G3" s="24"/>
      <c r="H3" s="24"/>
    </row>
    <row r="5" customFormat="false" ht="15" hidden="false" customHeight="false" outlineLevel="0" collapsed="false">
      <c r="B5" s="70"/>
      <c r="C5" s="36" t="s">
        <v>159</v>
      </c>
      <c r="D5" s="36" t="s">
        <v>160</v>
      </c>
      <c r="E5" s="36" t="s">
        <v>161</v>
      </c>
      <c r="F5" s="36" t="s">
        <v>162</v>
      </c>
      <c r="G5" s="36" t="s">
        <v>163</v>
      </c>
      <c r="H5" s="36" t="s">
        <v>164</v>
      </c>
      <c r="I5" s="36" t="s">
        <v>165</v>
      </c>
    </row>
    <row r="6" customFormat="false" ht="15" hidden="false" customHeight="false" outlineLevel="0" collapsed="false">
      <c r="B6" s="27" t="s">
        <v>166</v>
      </c>
      <c r="C6" s="17" t="n">
        <f aca="false">40*0.2</f>
        <v>8</v>
      </c>
      <c r="D6" s="17" t="n">
        <f aca="false">40*0.3</f>
        <v>12</v>
      </c>
      <c r="E6" s="17" t="n">
        <f aca="false">40*0.4</f>
        <v>16</v>
      </c>
      <c r="F6" s="17" t="n">
        <f aca="false">40*0.5</f>
        <v>20</v>
      </c>
      <c r="G6" s="17" t="n">
        <f aca="false">40*0.6</f>
        <v>24</v>
      </c>
      <c r="H6" s="17" t="n">
        <f aca="false">40*0.7</f>
        <v>28</v>
      </c>
      <c r="I6" s="17" t="n">
        <f aca="false">40*0.8</f>
        <v>32</v>
      </c>
    </row>
    <row r="7" customFormat="false" ht="15" hidden="false" customHeight="false" outlineLevel="0" collapsed="false">
      <c r="B7" s="27" t="s">
        <v>167</v>
      </c>
      <c r="C7" s="38" t="n">
        <f aca="false">C6*9000</f>
        <v>72000</v>
      </c>
      <c r="D7" s="38" t="n">
        <f aca="false">D6*9000</f>
        <v>108000</v>
      </c>
      <c r="E7" s="38" t="n">
        <f aca="false">E6*9000</f>
        <v>144000</v>
      </c>
      <c r="F7" s="38" t="n">
        <f aca="false">F6*9000</f>
        <v>180000</v>
      </c>
      <c r="G7" s="38" t="n">
        <f aca="false">G6*9000</f>
        <v>216000</v>
      </c>
      <c r="H7" s="38" t="n">
        <f aca="false">H6*9000</f>
        <v>252000</v>
      </c>
      <c r="I7" s="38" t="n">
        <f aca="false">I6*9000</f>
        <v>288000</v>
      </c>
    </row>
    <row r="8" customFormat="false" ht="15" hidden="false" customHeight="false" outlineLevel="0" collapsed="false">
      <c r="B8" s="27" t="s">
        <v>168</v>
      </c>
      <c r="C8" s="44" t="n">
        <f aca="false">-C7*0.22</f>
        <v>-15840</v>
      </c>
      <c r="D8" s="44" t="n">
        <f aca="false">-D7*0.22</f>
        <v>-23760</v>
      </c>
      <c r="E8" s="44" t="n">
        <f aca="false">-E7*0.22</f>
        <v>-31680</v>
      </c>
      <c r="F8" s="44" t="n">
        <f aca="false">-F7*0.22</f>
        <v>-39600</v>
      </c>
      <c r="G8" s="44" t="n">
        <f aca="false">-G7*0.22</f>
        <v>-47520</v>
      </c>
      <c r="H8" s="44" t="n">
        <f aca="false">-H7*0.22</f>
        <v>-55440</v>
      </c>
      <c r="I8" s="44" t="n">
        <f aca="false">-I7*0.22</f>
        <v>-63360</v>
      </c>
    </row>
    <row r="9" customFormat="false" ht="15" hidden="false" customHeight="false" outlineLevel="0" collapsed="false">
      <c r="B9" s="27" t="s">
        <v>169</v>
      </c>
      <c r="C9" s="44" t="n">
        <f aca="false">-C6*1200</f>
        <v>-9600</v>
      </c>
      <c r="D9" s="44" t="n">
        <f aca="false">-D6*1200</f>
        <v>-14400</v>
      </c>
      <c r="E9" s="44" t="n">
        <f aca="false">-E6*1200</f>
        <v>-19200</v>
      </c>
      <c r="F9" s="44" t="n">
        <f aca="false">-F6*1200</f>
        <v>-24000</v>
      </c>
      <c r="G9" s="44" t="n">
        <f aca="false">-G6*1200</f>
        <v>-28800</v>
      </c>
      <c r="H9" s="44" t="n">
        <f aca="false">-H6*1200</f>
        <v>-33600</v>
      </c>
      <c r="I9" s="44" t="n">
        <f aca="false">-I6*1200</f>
        <v>-38400</v>
      </c>
    </row>
    <row r="10" customFormat="false" ht="15" hidden="false" customHeight="false" outlineLevel="0" collapsed="false">
      <c r="B10" s="27" t="s">
        <v>76</v>
      </c>
      <c r="C10" s="44" t="n">
        <v>-10000</v>
      </c>
      <c r="D10" s="44" t="n">
        <v>-10000</v>
      </c>
      <c r="E10" s="44" t="n">
        <v>-10000</v>
      </c>
      <c r="F10" s="44" t="n">
        <v>-10000</v>
      </c>
      <c r="G10" s="44" t="n">
        <v>-10000</v>
      </c>
      <c r="H10" s="44" t="n">
        <v>-10000</v>
      </c>
      <c r="I10" s="44" t="n">
        <v>-10000</v>
      </c>
    </row>
    <row r="11" customFormat="false" ht="15" hidden="false" customHeight="false" outlineLevel="0" collapsed="false">
      <c r="B11" s="27" t="s">
        <v>170</v>
      </c>
      <c r="C11" s="44" t="n">
        <v>-15000</v>
      </c>
      <c r="D11" s="44" t="n">
        <v>-15000</v>
      </c>
      <c r="E11" s="44" t="n">
        <v>-15000</v>
      </c>
      <c r="F11" s="44" t="n">
        <v>-15000</v>
      </c>
      <c r="G11" s="44" t="n">
        <v>-15000</v>
      </c>
      <c r="H11" s="44" t="n">
        <v>-15000</v>
      </c>
      <c r="I11" s="44" t="n">
        <v>-15000</v>
      </c>
    </row>
    <row r="12" customFormat="false" ht="15" hidden="false" customHeight="false" outlineLevel="0" collapsed="false">
      <c r="B12" s="27" t="s">
        <v>171</v>
      </c>
      <c r="C12" s="44" t="n">
        <v>-19300</v>
      </c>
      <c r="D12" s="44" t="n">
        <v>-19300</v>
      </c>
      <c r="E12" s="44" t="n">
        <v>-19300</v>
      </c>
      <c r="F12" s="44" t="n">
        <v>-19300</v>
      </c>
      <c r="G12" s="44" t="n">
        <v>-19300</v>
      </c>
      <c r="H12" s="44" t="n">
        <v>-19300</v>
      </c>
      <c r="I12" s="44" t="n">
        <v>-19300</v>
      </c>
    </row>
    <row r="13" customFormat="false" ht="15" hidden="false" customHeight="false" outlineLevel="0" collapsed="false">
      <c r="B13" s="27" t="s">
        <v>172</v>
      </c>
      <c r="C13" s="71" t="n">
        <f aca="false">SUM(C8:C12)</f>
        <v>-69740</v>
      </c>
      <c r="D13" s="71" t="n">
        <f aca="false">SUM(D8:D12)</f>
        <v>-82460</v>
      </c>
      <c r="E13" s="71" t="n">
        <f aca="false">SUM(E8:E12)</f>
        <v>-95180</v>
      </c>
      <c r="F13" s="71" t="n">
        <f aca="false">SUM(F8:F12)</f>
        <v>-107900</v>
      </c>
      <c r="G13" s="71" t="n">
        <f aca="false">SUM(G8:G12)</f>
        <v>-120620</v>
      </c>
      <c r="H13" s="71" t="n">
        <f aca="false">SUM(H8:H12)</f>
        <v>-133340</v>
      </c>
      <c r="I13" s="71" t="n">
        <f aca="false">SUM(I8:I12)</f>
        <v>-146060</v>
      </c>
    </row>
    <row r="14" customFormat="false" ht="15" hidden="false" customHeight="false" outlineLevel="0" collapsed="false">
      <c r="B14" s="27" t="s">
        <v>84</v>
      </c>
      <c r="C14" s="44" t="n">
        <f aca="false">C7+C13</f>
        <v>2260</v>
      </c>
      <c r="D14" s="44" t="n">
        <f aca="false">D7+D13</f>
        <v>25540</v>
      </c>
      <c r="E14" s="44" t="n">
        <f aca="false">E7+E13</f>
        <v>48820</v>
      </c>
      <c r="F14" s="44" t="n">
        <f aca="false">F7+F13</f>
        <v>72100</v>
      </c>
      <c r="G14" s="44" t="n">
        <f aca="false">G7+G13</f>
        <v>95380</v>
      </c>
      <c r="H14" s="44" t="n">
        <f aca="false">H7+H13</f>
        <v>118660</v>
      </c>
      <c r="I14" s="44" t="n">
        <f aca="false">I7+I13</f>
        <v>141940</v>
      </c>
    </row>
    <row r="15" customFormat="false" ht="15" hidden="false" customHeight="false" outlineLevel="0" collapsed="false">
      <c r="B15" s="27" t="s">
        <v>14</v>
      </c>
      <c r="C15" s="72" t="n">
        <f aca="false">-'Partnership Split'!C14*12</f>
        <v>-47973.5352311618</v>
      </c>
      <c r="D15" s="72" t="n">
        <f aca="false">-'Partnership Split'!C14*12</f>
        <v>-47973.5352311618</v>
      </c>
      <c r="E15" s="72" t="n">
        <f aca="false">-'Partnership Split'!C14*12</f>
        <v>-47973.5352311618</v>
      </c>
      <c r="F15" s="72" t="n">
        <f aca="false">-'Partnership Split'!C14*12</f>
        <v>-47973.5352311618</v>
      </c>
      <c r="G15" s="72" t="n">
        <f aca="false">-'Partnership Split'!C14*12</f>
        <v>-47973.5352311618</v>
      </c>
      <c r="H15" s="72" t="n">
        <f aca="false">-'Partnership Split'!C14*12</f>
        <v>-47973.5352311618</v>
      </c>
      <c r="I15" s="72" t="n">
        <f aca="false">-'Partnership Split'!C14*12</f>
        <v>-47973.5352311618</v>
      </c>
    </row>
    <row r="16" customFormat="false" ht="15" hidden="false" customHeight="false" outlineLevel="0" collapsed="false">
      <c r="B16" s="27" t="s">
        <v>133</v>
      </c>
      <c r="C16" s="73" t="n">
        <f aca="false">C14+C15</f>
        <v>-45713.5352311618</v>
      </c>
      <c r="D16" s="73" t="n">
        <f aca="false">D14+D15</f>
        <v>-22433.5352311618</v>
      </c>
      <c r="E16" s="73" t="n">
        <f aca="false">E14+E15</f>
        <v>846.464768838196</v>
      </c>
      <c r="F16" s="73" t="n">
        <f aca="false">F14+F15</f>
        <v>24126.4647688382</v>
      </c>
      <c r="G16" s="73" t="n">
        <f aca="false">G14+G15</f>
        <v>47406.4647688382</v>
      </c>
      <c r="H16" s="73" t="n">
        <f aca="false">H14+H15</f>
        <v>70686.4647688382</v>
      </c>
      <c r="I16" s="73" t="n">
        <f aca="false">I14+I15</f>
        <v>93966.4647688382</v>
      </c>
    </row>
    <row r="17" customFormat="false" ht="15" hidden="false" customHeight="false" outlineLevel="0" collapsed="false">
      <c r="B17" s="49"/>
      <c r="C17" s="74"/>
      <c r="D17" s="74"/>
      <c r="E17" s="74"/>
      <c r="F17" s="74"/>
      <c r="G17" s="74"/>
      <c r="H17" s="74"/>
      <c r="I17" s="74"/>
    </row>
    <row r="18" customFormat="false" ht="15" hidden="false" customHeight="false" outlineLevel="0" collapsed="false">
      <c r="B18" s="27" t="s">
        <v>173</v>
      </c>
      <c r="C18" s="75" t="n">
        <f aca="false">C16/12</f>
        <v>-3809.46126926348</v>
      </c>
      <c r="D18" s="75" t="n">
        <f aca="false">D16/12</f>
        <v>-1869.46126926348</v>
      </c>
      <c r="E18" s="75" t="n">
        <f aca="false">E16/12</f>
        <v>70.5387307365163</v>
      </c>
      <c r="F18" s="75" t="n">
        <f aca="false">F16/12</f>
        <v>2010.53873073652</v>
      </c>
      <c r="G18" s="75" t="n">
        <f aca="false">G16/12</f>
        <v>3950.53873073652</v>
      </c>
      <c r="H18" s="75" t="n">
        <f aca="false">H16/12</f>
        <v>5890.53873073652</v>
      </c>
      <c r="I18" s="75" t="n">
        <f aca="false">I16/12</f>
        <v>7830.53873073652</v>
      </c>
    </row>
    <row r="19" customFormat="false" ht="15" hidden="false" customHeight="false" outlineLevel="0" collapsed="false">
      <c r="B19" s="27" t="s">
        <v>174</v>
      </c>
      <c r="C19" s="44" t="n">
        <f aca="false">C18*0.5</f>
        <v>-1904.73063463174</v>
      </c>
      <c r="D19" s="44" t="n">
        <f aca="false">D18*0.5</f>
        <v>-934.730634631742</v>
      </c>
      <c r="E19" s="44" t="n">
        <f aca="false">E18*0.5</f>
        <v>35.2693653682582</v>
      </c>
      <c r="F19" s="44" t="n">
        <f aca="false">F18*0.5</f>
        <v>1005.26936536826</v>
      </c>
      <c r="G19" s="44" t="n">
        <f aca="false">G18*0.5</f>
        <v>1975.26936536826</v>
      </c>
      <c r="H19" s="44" t="n">
        <f aca="false">H18*0.5</f>
        <v>2945.26936536826</v>
      </c>
      <c r="I19" s="44" t="n">
        <f aca="false">I18*0.5</f>
        <v>3915.26936536826</v>
      </c>
    </row>
    <row r="20" customFormat="false" ht="15" hidden="false" customHeight="false" outlineLevel="0" collapsed="false">
      <c r="B20" s="27" t="s">
        <v>175</v>
      </c>
      <c r="C20" s="44" t="n">
        <f aca="false">-C9/12+C18*0.5</f>
        <v>-1104.73063463174</v>
      </c>
      <c r="D20" s="44" t="n">
        <f aca="false">-D9/12+D18*0.5</f>
        <v>265.269365368258</v>
      </c>
      <c r="E20" s="44" t="n">
        <f aca="false">-E9/12+E18*0.5</f>
        <v>1635.26936536826</v>
      </c>
      <c r="F20" s="44" t="n">
        <f aca="false">-F9/12+F18*0.5</f>
        <v>3005.26936536826</v>
      </c>
      <c r="G20" s="44" t="n">
        <f aca="false">-G9/12+G18*0.5</f>
        <v>4375.26936536826</v>
      </c>
      <c r="H20" s="44" t="n">
        <f aca="false">-H9/12+H18*0.5</f>
        <v>5745.26936536826</v>
      </c>
      <c r="I20" s="44" t="n">
        <f aca="false">-I9/12+I18*0.5</f>
        <v>7115.26936536826</v>
      </c>
    </row>
    <row r="21" customFormat="false" ht="15" hidden="false" customHeight="false" outlineLevel="0" collapsed="false">
      <c r="B21" s="49"/>
      <c r="C21" s="74"/>
      <c r="D21" s="74"/>
      <c r="E21" s="74"/>
      <c r="F21" s="74"/>
      <c r="G21" s="74"/>
      <c r="H21" s="74"/>
      <c r="I21" s="74"/>
    </row>
    <row r="22" customFormat="false" ht="15" hidden="false" customHeight="false" outlineLevel="0" collapsed="false">
      <c r="B22" s="27" t="s">
        <v>176</v>
      </c>
      <c r="C22" s="76" t="n">
        <f aca="false">IF(C18&lt;0, -C18*12, 0)</f>
        <v>45713.5352311618</v>
      </c>
      <c r="D22" s="76" t="n">
        <f aca="false">IF(D18&lt;0, -D18*12, 0)</f>
        <v>22433.5352311618</v>
      </c>
      <c r="E22" s="76" t="n">
        <f aca="false">IF(E18&lt;0, -E18*12, 0)</f>
        <v>0</v>
      </c>
      <c r="F22" s="76" t="n">
        <f aca="false">IF(F18&lt;0, -F18*12, 0)</f>
        <v>0</v>
      </c>
      <c r="G22" s="76" t="n">
        <f aca="false">IF(G18&lt;0, -G18*12, 0)</f>
        <v>0</v>
      </c>
      <c r="H22" s="76" t="n">
        <f aca="false">IF(H18&lt;0, -H18*12, 0)</f>
        <v>0</v>
      </c>
      <c r="I22" s="76" t="n">
        <f aca="false">IF(I18&lt;0, -I18*12, 0)</f>
        <v>0</v>
      </c>
    </row>
    <row r="23" customFormat="false" ht="15" hidden="false" customHeight="false" outlineLevel="0" collapsed="false">
      <c r="B23" s="77" t="s">
        <v>177</v>
      </c>
      <c r="C23" s="74"/>
      <c r="D23" s="74"/>
      <c r="E23" s="74"/>
      <c r="F23" s="74"/>
      <c r="G23" s="74"/>
      <c r="H23" s="74"/>
      <c r="I23" s="74"/>
    </row>
    <row r="24" customFormat="false" ht="15" hidden="false" customHeight="false" outlineLevel="0" collapsed="false">
      <c r="B24" s="78" t="s">
        <v>178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2026-04-14T19:34:43Z</dcterms:created>
  <dc:creator>openpyxl</dc:creator>
  <dc:description/>
  <dc:language>en-US</dc:language>
  <cp:lastModifiedBy/>
  <dcterms:modified xsi:type="dcterms:W3CDTF">2026-04-14T19:48:41Z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